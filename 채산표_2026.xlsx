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채산표" sheetId="1" state="visible" r:id="rId1"/>
    <sheet name="월별 상세" sheetId="2" state="visible" r:id="rId2"/>
    <sheet name="원본데이터 (통합)" sheetId="3" state="visible" r:id="rId3"/>
    <sheet name="분류불명" sheetId="4" state="visible" r:id="rId4"/>
  </sheets>
  <definedNames>
    <definedName name="_xlnm._FilterDatabase" localSheetId="2" hidden="1">'원본데이터 (통합)'!$A$2:$G$145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4">
    <font>
      <name val="Calibri"/>
      <family val="2"/>
      <color theme="1"/>
      <sz val="11"/>
      <scheme val="minor"/>
    </font>
    <font>
      <name val="맑은 고딕"/>
      <b val="1"/>
      <color rgb="00000000"/>
      <sz val="18"/>
    </font>
    <font>
      <name val="맑은 고딕"/>
      <color rgb="00808080"/>
      <sz val="10"/>
    </font>
    <font>
      <name val="맑은 고딕"/>
      <b val="1"/>
      <color rgb="00FFFFFF"/>
      <sz val="10"/>
    </font>
    <font>
      <name val="맑은 고딕"/>
      <b val="1"/>
      <sz val="10"/>
    </font>
    <font>
      <name val="맑은 고딕"/>
      <i val="1"/>
      <color rgb="00808080"/>
      <sz val="10"/>
    </font>
    <font>
      <name val="맑은 고딕"/>
      <sz val="10"/>
    </font>
    <font>
      <name val="맑은 고딕"/>
      <b val="1"/>
      <color rgb="00DC3232"/>
      <sz val="11"/>
    </font>
    <font>
      <name val="맑은 고딕"/>
      <color rgb="00606060"/>
      <sz val="9"/>
    </font>
    <font>
      <name val="맑은 고딕"/>
      <b val="1"/>
      <color rgb="00FFFFFF"/>
      <sz val="14"/>
    </font>
    <font>
      <name val="맑은 고딕"/>
      <b val="1"/>
      <color rgb="00000000"/>
      <sz val="10"/>
    </font>
    <font>
      <name val="맑은 고딕"/>
      <b val="1"/>
      <color rgb="00DC3232"/>
      <sz val="10"/>
    </font>
    <font>
      <name val="맑은 고딕"/>
      <b val="1"/>
      <color rgb="00FFFFFF"/>
      <sz val="13"/>
    </font>
    <font>
      <name val="맑은 고딕"/>
      <i val="1"/>
      <color rgb="007F3F00"/>
      <sz val="9"/>
    </font>
  </fonts>
  <fills count="13">
    <fill>
      <patternFill/>
    </fill>
    <fill>
      <patternFill patternType="gray125"/>
    </fill>
    <fill>
      <patternFill patternType="solid">
        <fgColor rgb="00333333"/>
      </patternFill>
    </fill>
    <fill>
      <patternFill patternType="solid">
        <fgColor rgb="00F9F9F9"/>
      </patternFill>
    </fill>
    <fill>
      <patternFill patternType="solid">
        <fgColor rgb="00FFEBEB"/>
      </patternFill>
    </fill>
    <fill>
      <patternFill patternType="solid">
        <fgColor rgb="002F5597"/>
      </patternFill>
    </fill>
    <fill>
      <patternFill patternType="solid">
        <fgColor rgb="004472C4"/>
      </patternFill>
    </fill>
    <fill>
      <patternFill patternType="solid">
        <fgColor rgb="00F0FFF0"/>
      </patternFill>
    </fill>
    <fill>
      <patternFill patternType="solid">
        <fgColor rgb="00FFF0F0"/>
      </patternFill>
    </fill>
    <fill>
      <patternFill patternType="solid">
        <fgColor rgb="00C55A11"/>
      </patternFill>
    </fill>
    <fill>
      <patternFill patternType="solid">
        <fgColor rgb="00FFF2CC"/>
      </patternFill>
    </fill>
    <fill>
      <patternFill patternType="solid">
        <fgColor rgb="00FFC000"/>
      </patternFill>
    </fill>
    <fill>
      <patternFill patternType="solid">
        <fgColor rgb="00FFD7C0"/>
      </patternFill>
    </fill>
  </fills>
  <borders count="4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CCCCCC"/>
      </left>
      <right style="thin">
        <color rgb="00CCCCCC"/>
      </right>
      <top style="dashed">
        <color rgb="00AAAAAA"/>
      </top>
      <bottom style="thin">
        <color rgb="00CCCCCC"/>
      </bottom>
    </border>
    <border>
      <left style="medium">
        <color rgb="00DC3232"/>
      </left>
      <right style="medium">
        <color rgb="00DC3232"/>
      </right>
      <top style="medium">
        <color rgb="00DC3232"/>
      </top>
      <bottom style="medium">
        <color rgb="00DC3232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3" fontId="4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0" fontId="5" fillId="0" borderId="0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3" fontId="6" fillId="3" borderId="1" applyAlignment="1" pivotButton="0" quotePrefix="0" xfId="0">
      <alignment horizontal="right" vertical="center"/>
    </xf>
    <xf numFmtId="164" fontId="6" fillId="3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 wrapText="1"/>
    </xf>
    <xf numFmtId="3" fontId="6" fillId="0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  <xf numFmtId="0" fontId="4" fillId="0" borderId="2" applyAlignment="1" pivotButton="0" quotePrefix="0" xfId="0">
      <alignment horizontal="left" vertical="center" wrapText="1"/>
    </xf>
    <xf numFmtId="3" fontId="4" fillId="0" borderId="2" applyAlignment="1" pivotButton="0" quotePrefix="0" xfId="0">
      <alignment horizontal="right" vertical="center"/>
    </xf>
    <xf numFmtId="164" fontId="4" fillId="0" borderId="2" applyAlignment="1" pivotButton="0" quotePrefix="0" xfId="0">
      <alignment horizontal="right" vertical="center"/>
    </xf>
    <xf numFmtId="0" fontId="7" fillId="4" borderId="3" applyAlignment="1" pivotButton="0" quotePrefix="0" xfId="0">
      <alignment horizontal="left" vertical="center" wrapText="1"/>
    </xf>
    <xf numFmtId="3" fontId="7" fillId="4" borderId="3" applyAlignment="1" pivotButton="0" quotePrefix="0" xfId="0">
      <alignment horizontal="right" vertical="center"/>
    </xf>
    <xf numFmtId="164" fontId="7" fillId="4" borderId="3" applyAlignment="1" pivotButton="0" quotePrefix="0" xfId="0">
      <alignment horizontal="right" vertical="center"/>
    </xf>
    <xf numFmtId="0" fontId="8" fillId="0" borderId="0" applyAlignment="1" pivotButton="0" quotePrefix="0" xfId="0">
      <alignment horizontal="left" vertical="center" wrapText="1"/>
    </xf>
    <xf numFmtId="0" fontId="9" fillId="5" borderId="0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3" fontId="10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 wrapText="1"/>
    </xf>
    <xf numFmtId="3" fontId="11" fillId="4" borderId="1" applyAlignment="1" pivotButton="0" quotePrefix="0" xfId="0">
      <alignment horizontal="right" vertical="center"/>
    </xf>
    <xf numFmtId="0" fontId="12" fillId="5" borderId="0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  <xf numFmtId="3" fontId="6" fillId="7" borderId="1" applyAlignment="1" pivotButton="0" quotePrefix="0" xfId="0">
      <alignment horizontal="right" vertical="center"/>
    </xf>
    <xf numFmtId="0" fontId="6" fillId="8" borderId="1" applyAlignment="1" pivotButton="0" quotePrefix="0" xfId="0">
      <alignment horizontal="left" vertical="center" wrapText="1"/>
    </xf>
    <xf numFmtId="3" fontId="6" fillId="8" borderId="1" applyAlignment="1" pivotButton="0" quotePrefix="0" xfId="0">
      <alignment horizontal="right" vertical="center"/>
    </xf>
    <xf numFmtId="0" fontId="12" fillId="9" borderId="0" applyAlignment="1" pivotButton="0" quotePrefix="0" xfId="0">
      <alignment horizontal="center" vertical="center" wrapText="1"/>
    </xf>
    <xf numFmtId="0" fontId="13" fillId="10" borderId="0" applyAlignment="1" pivotButton="0" quotePrefix="0" xfId="0">
      <alignment horizontal="left" vertical="center" wrapText="1"/>
    </xf>
    <xf numFmtId="0" fontId="3" fillId="11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left" vertical="center" wrapText="1"/>
    </xf>
    <xf numFmtId="3" fontId="6" fillId="10" borderId="1" applyAlignment="1" pivotButton="0" quotePrefix="0" xfId="0">
      <alignment horizontal="right" vertical="center"/>
    </xf>
    <xf numFmtId="0" fontId="4" fillId="12" borderId="1" applyAlignment="1" pivotButton="0" quotePrefix="0" xfId="0">
      <alignment horizontal="left" vertical="center" wrapText="1"/>
    </xf>
    <xf numFmtId="3" fontId="4" fillId="1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11" customWidth="1" min="3" max="3"/>
  </cols>
  <sheetData>
    <row r="1" ht="36" customHeight="1">
      <c r="A1" s="1" t="inlineStr">
        <is>
          <t>회사 채산표 (예감마켓)</t>
        </is>
      </c>
    </row>
    <row r="2" ht="18" customHeight="1">
      <c r="A2" s="2" t="inlineStr">
        <is>
          <t>(단위: 원 / 월)  |  분석기간: 2025년 11월 ~ 2026년 4월 (6개월 평균)</t>
        </is>
      </c>
    </row>
    <row r="3" ht="6" customHeight="1"/>
    <row r="4" ht="22" customHeight="1">
      <c r="A4" s="3" t="inlineStr">
        <is>
          <t>항목</t>
        </is>
      </c>
      <c r="B4" s="3" t="inlineStr">
        <is>
          <t>금액 (6개월 평균)</t>
        </is>
      </c>
      <c r="C4" s="3" t="inlineStr">
        <is>
          <t>비율</t>
        </is>
      </c>
    </row>
    <row r="5">
      <c r="A5" s="4" t="inlineStr">
        <is>
          <t>매출</t>
        </is>
      </c>
      <c r="B5" s="5" t="n">
        <v>17730073</v>
      </c>
      <c r="C5" s="6" t="n">
        <v>1</v>
      </c>
    </row>
    <row r="6" ht="18" customHeight="1">
      <c r="A6" s="7" t="inlineStr">
        <is>
          <t>— 비용 —</t>
        </is>
      </c>
    </row>
    <row r="7">
      <c r="A7" s="8" t="inlineStr">
        <is>
          <t xml:space="preserve">  매출원가  (상품매입·택배비·포장재)</t>
        </is>
      </c>
      <c r="B7" s="9" t="n">
        <v>11083339</v>
      </c>
      <c r="C7" s="10">
        <f>IF(B5&gt;0,B7/B5,"-")</f>
        <v/>
      </c>
    </row>
    <row r="8">
      <c r="A8" s="11" t="inlineStr">
        <is>
          <t xml:space="preserve">  임대료</t>
        </is>
      </c>
      <c r="B8" s="12" t="n">
        <v>2000000</v>
      </c>
      <c r="C8" s="13">
        <f>IF(B5&gt;0,B8/B5,"-")</f>
        <v/>
      </c>
    </row>
    <row r="9">
      <c r="A9" s="8" t="inlineStr">
        <is>
          <t xml:space="preserve">  인건비</t>
        </is>
      </c>
      <c r="B9" s="9" t="n">
        <v>463333</v>
      </c>
      <c r="C9" s="10">
        <f>IF(B5&gt;0,B9/B5,"-")</f>
        <v/>
      </c>
    </row>
    <row r="10">
      <c r="A10" s="11" t="inlineStr">
        <is>
          <t xml:space="preserve">  사대보험 / 퇴직금</t>
        </is>
      </c>
      <c r="B10" s="12" t="n">
        <v>234697</v>
      </c>
      <c r="C10" s="13">
        <f>IF(B5&gt;0,B10/B5,"-")</f>
        <v/>
      </c>
    </row>
    <row r="11">
      <c r="A11" s="8" t="inlineStr">
        <is>
          <t xml:space="preserve">  관리비  (전기·수도·CCTV·인터넷 등)</t>
        </is>
      </c>
      <c r="B11" s="9" t="n">
        <v>0</v>
      </c>
      <c r="C11" s="10">
        <f>IF(B5&gt;0,B11/B5,"-")</f>
        <v/>
      </c>
    </row>
    <row r="12">
      <c r="A12" s="11" t="inlineStr">
        <is>
          <t xml:space="preserve">  운영비  (광고비·플랫폼·복리후생 등)</t>
        </is>
      </c>
      <c r="B12" s="12" t="n">
        <v>810140</v>
      </c>
      <c r="C12" s="13">
        <f>IF(B5&gt;0,B12/B5,"-")</f>
        <v/>
      </c>
    </row>
    <row r="13">
      <c r="A13" s="8" t="inlineStr">
        <is>
          <t xml:space="preserve">  기타  ※ 신뢰도하 항목 포함 → 시트4</t>
        </is>
      </c>
      <c r="B13" s="9" t="n">
        <v>360874</v>
      </c>
      <c r="C13" s="10">
        <f>IF(B5&gt;0,B13/B5,"-")</f>
        <v/>
      </c>
    </row>
    <row r="14" ht="22" customHeight="1">
      <c r="A14" s="14" t="inlineStr">
        <is>
          <t>비용 합계</t>
        </is>
      </c>
      <c r="B14" s="15">
        <f>SUM(B7:B13)</f>
        <v/>
      </c>
      <c r="C14" s="16">
        <f>IF(B5&gt;0,B14/B5,"-")</f>
        <v/>
      </c>
    </row>
    <row r="15" ht="26" customHeight="1">
      <c r="A15" s="17" t="inlineStr">
        <is>
          <t>영업이익</t>
        </is>
      </c>
      <c r="B15" s="18">
        <f>B5-B14</f>
        <v/>
      </c>
      <c r="C15" s="19">
        <f>IF(B5&gt;0,B15/B5,"-")</f>
        <v/>
      </c>
    </row>
    <row r="16" ht="8" customHeight="1"/>
    <row r="17" ht="16" customHeight="1">
      <c r="A17" s="20" t="inlineStr">
        <is>
          <t>【데이터 출처】 카카오뱅크 거래내역 (2025.11~2026.04, PDF 추출) + 카드 내역 6개월 평균</t>
        </is>
      </c>
    </row>
    <row r="18" ht="16" customHeight="1">
      <c r="A18" s="20" t="inlineStr">
        <is>
          <t>【임대료】 (주)일송개발 24,000,000원 (2026-01-13) = 1년치 임대료 선납, 월환산 2,000,000원</t>
        </is>
      </c>
    </row>
    <row r="19" ht="16" customHeight="1">
      <c r="A19" s="20" t="inlineStr">
        <is>
          <t>【신뢰도하 항목】 기타에 임시 포함 — 시트4(분류불명) 확인 후 재분류 필요</t>
        </is>
      </c>
    </row>
    <row r="20" ht="16" customHeight="1">
      <c r="A20" s="20" t="inlineStr">
        <is>
          <t>【(주)일송개발 2,400만원】 임대료(1년 선납)로 재분류 완료. 월환산 2,000,000원으로 채산표 반영</t>
        </is>
      </c>
    </row>
  </sheetData>
  <mergeCells count="7">
    <mergeCell ref="A19:C19"/>
    <mergeCell ref="A1:C1"/>
    <mergeCell ref="A6:C6"/>
    <mergeCell ref="A17:C17"/>
    <mergeCell ref="A18:C18"/>
    <mergeCell ref="A20:C20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28" customHeight="1">
      <c r="A1" s="21" t="inlineStr">
        <is>
          <t>월별 항목 상세 내역 (2025년 11월 ~ 2026년 4월)</t>
        </is>
      </c>
    </row>
    <row r="2" ht="22" customHeight="1">
      <c r="A2" s="22" t="inlineStr">
        <is>
          <t>항목</t>
        </is>
      </c>
      <c r="B2" s="22" t="inlineStr">
        <is>
          <t>25년11월</t>
        </is>
      </c>
      <c r="C2" s="22" t="inlineStr">
        <is>
          <t>25년12월</t>
        </is>
      </c>
      <c r="D2" s="22" t="inlineStr">
        <is>
          <t>26년1월</t>
        </is>
      </c>
      <c r="E2" s="22" t="inlineStr">
        <is>
          <t>26년2월</t>
        </is>
      </c>
      <c r="F2" s="22" t="inlineStr">
        <is>
          <t>26년3월</t>
        </is>
      </c>
      <c r="G2" s="22" t="inlineStr">
        <is>
          <t>26년4월</t>
        </is>
      </c>
      <c r="H2" s="22" t="inlineStr">
        <is>
          <t>6개월 평균</t>
        </is>
      </c>
    </row>
    <row r="3" ht="20" customHeight="1">
      <c r="A3" s="11" t="inlineStr">
        <is>
          <t>매출</t>
        </is>
      </c>
      <c r="B3" s="12" t="n">
        <v>37806582</v>
      </c>
      <c r="C3" s="12" t="n">
        <v>34243839</v>
      </c>
      <c r="D3" s="12" t="n">
        <v>8957763</v>
      </c>
      <c r="E3" s="12" t="n">
        <v>20245677</v>
      </c>
      <c r="F3" s="12" t="n">
        <v>3036580</v>
      </c>
      <c r="G3" s="12" t="n">
        <v>2089998</v>
      </c>
      <c r="H3" s="23">
        <f>AVERAGE(B3:G3)</f>
        <v/>
      </c>
    </row>
    <row r="4">
      <c r="A4" s="11" t="inlineStr">
        <is>
          <t>매출원가</t>
        </is>
      </c>
      <c r="B4" s="12" t="n">
        <v>29760735</v>
      </c>
      <c r="C4" s="12" t="n">
        <v>22769125</v>
      </c>
      <c r="D4" s="12" t="n">
        <v>1759335</v>
      </c>
      <c r="E4" s="12" t="n">
        <v>1609475</v>
      </c>
      <c r="F4" s="12" t="n">
        <v>4623745</v>
      </c>
      <c r="G4" s="12" t="n">
        <v>3906945</v>
      </c>
      <c r="H4" s="23">
        <f>AVERAGE(B4:G4)</f>
        <v/>
      </c>
    </row>
    <row r="5">
      <c r="A5" t="inlineStr">
        <is>
          <t>임대료</t>
        </is>
      </c>
      <c r="B5" t="n">
        <v>0</v>
      </c>
      <c r="C5" t="n">
        <v>0</v>
      </c>
      <c r="D5" t="n">
        <v>2000000</v>
      </c>
      <c r="E5" t="n">
        <v>0</v>
      </c>
      <c r="F5" t="n">
        <v>0</v>
      </c>
      <c r="G5" t="n">
        <v>0</v>
      </c>
      <c r="H5">
        <f>AVERAGE(B5:G5)</f>
        <v/>
      </c>
    </row>
    <row r="6">
      <c r="A6" s="11" t="inlineStr">
        <is>
          <t>인건비</t>
        </is>
      </c>
      <c r="B6" s="12" t="n">
        <v>0</v>
      </c>
      <c r="C6" s="12" t="n">
        <v>2780000</v>
      </c>
      <c r="D6" s="12" t="n">
        <v>0</v>
      </c>
      <c r="E6" s="12" t="n">
        <v>0</v>
      </c>
      <c r="F6" s="12" t="n">
        <v>0</v>
      </c>
      <c r="G6" s="12" t="n">
        <v>0</v>
      </c>
      <c r="H6" s="23">
        <f>AVERAGE(B6:G6)</f>
        <v/>
      </c>
    </row>
    <row r="7">
      <c r="A7" s="11" t="inlineStr">
        <is>
          <t>사대보험/퇴직금</t>
        </is>
      </c>
      <c r="B7" s="12" t="n">
        <v>234697</v>
      </c>
      <c r="C7" s="12" t="n">
        <v>234697</v>
      </c>
      <c r="D7" s="12" t="n">
        <v>234697</v>
      </c>
      <c r="E7" s="12" t="n">
        <v>234697</v>
      </c>
      <c r="F7" s="12" t="n">
        <v>234697</v>
      </c>
      <c r="G7" s="12" t="n">
        <v>234697</v>
      </c>
      <c r="H7" s="23">
        <f>AVERAGE(B7:G7)</f>
        <v/>
      </c>
    </row>
    <row r="8">
      <c r="A8" s="11" t="inlineStr">
        <is>
          <t>운영비</t>
        </is>
      </c>
      <c r="B8" s="12" t="n">
        <v>245270</v>
      </c>
      <c r="C8" s="12" t="n">
        <v>1537270</v>
      </c>
      <c r="D8" s="12" t="n">
        <v>245270</v>
      </c>
      <c r="E8" s="12" t="n">
        <v>245270</v>
      </c>
      <c r="F8" s="12" t="n">
        <v>2005270</v>
      </c>
      <c r="G8" s="12" t="n">
        <v>395270</v>
      </c>
      <c r="H8" s="23">
        <f>AVERAGE(B8:G8)</f>
        <v/>
      </c>
    </row>
    <row r="9">
      <c r="A9" s="11" t="inlineStr">
        <is>
          <t>기타 (신뢰도하 포함)</t>
        </is>
      </c>
      <c r="B9" s="12" t="n">
        <v>141890</v>
      </c>
      <c r="C9" s="12" t="n">
        <v>2456890</v>
      </c>
      <c r="D9" s="12" t="n">
        <v>1328600</v>
      </c>
      <c r="E9" s="12" t="n">
        <v>581890</v>
      </c>
      <c r="F9" s="12" t="n">
        <v>1192750</v>
      </c>
      <c r="G9" s="12" t="n">
        <v>721110</v>
      </c>
      <c r="H9" s="23">
        <f>AVERAGE(B9:G9)</f>
        <v/>
      </c>
    </row>
    <row r="10">
      <c r="A10" s="4" t="inlineStr">
        <is>
          <t>비용 합계</t>
        </is>
      </c>
      <c r="B10" s="5">
        <f>SUM(B4:B9)</f>
        <v/>
      </c>
      <c r="C10" s="5">
        <f>SUM(C4:C9)</f>
        <v/>
      </c>
      <c r="D10" s="5">
        <f>SUM(D4:D9)</f>
        <v/>
      </c>
      <c r="E10" s="5">
        <f>SUM(E4:E9)</f>
        <v/>
      </c>
      <c r="F10" s="5">
        <f>SUM(F4:F9)</f>
        <v/>
      </c>
      <c r="G10" s="5">
        <f>SUM(G4:G9)</f>
        <v/>
      </c>
      <c r="H10" s="23">
        <f>AVERAGE(B10:G10)</f>
        <v/>
      </c>
    </row>
    <row r="11">
      <c r="A11" s="24" t="inlineStr">
        <is>
          <t>영업이익</t>
        </is>
      </c>
      <c r="B11" s="25">
        <f>B3-B10</f>
        <v/>
      </c>
      <c r="C11" s="25">
        <f>C3-C10</f>
        <v/>
      </c>
      <c r="D11" s="25">
        <f>D3-D10</f>
        <v/>
      </c>
      <c r="E11" s="25">
        <f>E3-E10</f>
        <v/>
      </c>
      <c r="F11" s="25">
        <f>F3-F10</f>
        <v/>
      </c>
      <c r="G11" s="25">
        <f>G3-G10</f>
        <v/>
      </c>
      <c r="H11" s="25">
        <f>AVERAGE(B11:G11)</f>
        <v/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16" customWidth="1" min="3" max="3"/>
    <col width="20" customWidth="1" min="4" max="4"/>
    <col width="10" customWidth="1" min="5" max="5"/>
    <col width="18" customWidth="1" min="6" max="6"/>
    <col width="8" customWidth="1" min="7" max="7"/>
  </cols>
  <sheetData>
    <row r="1" ht="26" customHeight="1">
      <c r="A1" s="26" t="inlineStr">
        <is>
          <t>원본 거래 데이터 통합 (카카오뱅크 + 카드 내역)</t>
        </is>
      </c>
    </row>
    <row r="2" ht="20" customHeight="1">
      <c r="A2" s="3" t="inlineStr">
        <is>
          <t>날짜</t>
        </is>
      </c>
      <c r="B2" s="3" t="inlineStr">
        <is>
          <t>거래처</t>
        </is>
      </c>
      <c r="C2" s="3" t="inlineStr">
        <is>
          <t>금액 (원)</t>
        </is>
      </c>
      <c r="D2" s="3" t="inlineStr">
        <is>
          <t>분류항목</t>
        </is>
      </c>
      <c r="E2" s="3" t="inlineStr">
        <is>
          <t>신뢰도</t>
        </is>
      </c>
      <c r="F2" s="3" t="inlineStr">
        <is>
          <t>출처</t>
        </is>
      </c>
      <c r="G2" s="3" t="inlineStr">
        <is>
          <t>입출금</t>
        </is>
      </c>
      <c r="H2" t="inlineStr">
        <is>
          <t>메모</t>
        </is>
      </c>
    </row>
    <row r="3">
      <c r="A3" s="27" t="inlineStr">
        <is>
          <t>2025-11-01</t>
        </is>
      </c>
      <c r="B3" s="27" t="inlineStr">
        <is>
          <t>스마트스토어정산</t>
        </is>
      </c>
      <c r="C3" s="28" t="n">
        <v>35814</v>
      </c>
      <c r="D3" s="27" t="inlineStr">
        <is>
          <t>매출</t>
        </is>
      </c>
      <c r="E3" s="27" t="inlineStr">
        <is>
          <t>상</t>
        </is>
      </c>
      <c r="F3" s="27" t="inlineStr">
        <is>
          <t>카카오뱅크</t>
        </is>
      </c>
      <c r="G3" s="27" t="inlineStr">
        <is>
          <t>입금</t>
        </is>
      </c>
    </row>
    <row r="4">
      <c r="A4" s="27" t="inlineStr">
        <is>
          <t>2025-11-01</t>
        </is>
      </c>
      <c r="B4" s="27" t="inlineStr">
        <is>
          <t>스마트스토어정산</t>
        </is>
      </c>
      <c r="C4" s="28" t="n">
        <v>1291870</v>
      </c>
      <c r="D4" s="27" t="inlineStr">
        <is>
          <t>매출</t>
        </is>
      </c>
      <c r="E4" s="27" t="inlineStr">
        <is>
          <t>상</t>
        </is>
      </c>
      <c r="F4" s="27" t="inlineStr">
        <is>
          <t>카카오뱅크</t>
        </is>
      </c>
      <c r="G4" s="27" t="inlineStr">
        <is>
          <t>입금</t>
        </is>
      </c>
    </row>
    <row r="5">
      <c r="A5" s="27" t="inlineStr">
        <is>
          <t>2025-11-01</t>
        </is>
      </c>
      <c r="B5" s="27" t="inlineStr">
        <is>
          <t>스마트스토어정산</t>
        </is>
      </c>
      <c r="C5" s="28" t="n">
        <v>1641903</v>
      </c>
      <c r="D5" s="27" t="inlineStr">
        <is>
          <t>매출</t>
        </is>
      </c>
      <c r="E5" s="27" t="inlineStr">
        <is>
          <t>상</t>
        </is>
      </c>
      <c r="F5" s="27" t="inlineStr">
        <is>
          <t>카카오뱅크</t>
        </is>
      </c>
      <c r="G5" s="27" t="inlineStr">
        <is>
          <t>입금</t>
        </is>
      </c>
    </row>
    <row r="6">
      <c r="A6" s="27" t="inlineStr">
        <is>
          <t>2025-11-01</t>
        </is>
      </c>
      <c r="B6" s="27" t="inlineStr">
        <is>
          <t>스마트스토어정산</t>
        </is>
      </c>
      <c r="C6" s="28" t="n">
        <v>1047735</v>
      </c>
      <c r="D6" s="27" t="inlineStr">
        <is>
          <t>매출</t>
        </is>
      </c>
      <c r="E6" s="27" t="inlineStr">
        <is>
          <t>상</t>
        </is>
      </c>
      <c r="F6" s="27" t="inlineStr">
        <is>
          <t>카카오뱅크</t>
        </is>
      </c>
      <c r="G6" s="27" t="inlineStr">
        <is>
          <t>입금</t>
        </is>
      </c>
    </row>
    <row r="7">
      <c r="A7" s="27" t="inlineStr">
        <is>
          <t>2025-11-01</t>
        </is>
      </c>
      <c r="B7" s="27" t="inlineStr">
        <is>
          <t>스마트스토어정산</t>
        </is>
      </c>
      <c r="C7" s="28" t="n">
        <v>5223456</v>
      </c>
      <c r="D7" s="27" t="inlineStr">
        <is>
          <t>매출</t>
        </is>
      </c>
      <c r="E7" s="27" t="inlineStr">
        <is>
          <t>상</t>
        </is>
      </c>
      <c r="F7" s="27" t="inlineStr">
        <is>
          <t>카카오뱅크</t>
        </is>
      </c>
      <c r="G7" s="27" t="inlineStr">
        <is>
          <t>입금</t>
        </is>
      </c>
    </row>
    <row r="8">
      <c r="A8" s="27" t="inlineStr">
        <is>
          <t>2025-11-01</t>
        </is>
      </c>
      <c r="B8" s="27" t="inlineStr">
        <is>
          <t>스마트스토어정산</t>
        </is>
      </c>
      <c r="C8" s="28" t="n">
        <v>1190484</v>
      </c>
      <c r="D8" s="27" t="inlineStr">
        <is>
          <t>매출</t>
        </is>
      </c>
      <c r="E8" s="27" t="inlineStr">
        <is>
          <t>상</t>
        </is>
      </c>
      <c r="F8" s="27" t="inlineStr">
        <is>
          <t>카카오뱅크</t>
        </is>
      </c>
      <c r="G8" s="27" t="inlineStr">
        <is>
          <t>입금</t>
        </is>
      </c>
    </row>
    <row r="9">
      <c r="A9" s="27" t="inlineStr">
        <is>
          <t>2025-11-01</t>
        </is>
      </c>
      <c r="B9" s="27" t="inlineStr">
        <is>
          <t>스마트스토어정산</t>
        </is>
      </c>
      <c r="C9" s="28" t="n">
        <v>1883886</v>
      </c>
      <c r="D9" s="27" t="inlineStr">
        <is>
          <t>매출</t>
        </is>
      </c>
      <c r="E9" s="27" t="inlineStr">
        <is>
          <t>상</t>
        </is>
      </c>
      <c r="F9" s="27" t="inlineStr">
        <is>
          <t>카카오뱅크</t>
        </is>
      </c>
      <c r="G9" s="27" t="inlineStr">
        <is>
          <t>입금</t>
        </is>
      </c>
    </row>
    <row r="10">
      <c r="A10" s="27" t="inlineStr">
        <is>
          <t>2025-11-01</t>
        </is>
      </c>
      <c r="B10" s="27" t="inlineStr">
        <is>
          <t>스마트스토어정산</t>
        </is>
      </c>
      <c r="C10" s="28" t="n">
        <v>8679907</v>
      </c>
      <c r="D10" s="27" t="inlineStr">
        <is>
          <t>매출</t>
        </is>
      </c>
      <c r="E10" s="27" t="inlineStr">
        <is>
          <t>상</t>
        </is>
      </c>
      <c r="F10" s="27" t="inlineStr">
        <is>
          <t>카카오뱅크</t>
        </is>
      </c>
      <c r="G10" s="27" t="inlineStr">
        <is>
          <t>입금</t>
        </is>
      </c>
    </row>
    <row r="11">
      <c r="A11" s="27" t="inlineStr">
        <is>
          <t>2025-11-01</t>
        </is>
      </c>
      <c r="B11" s="27" t="inlineStr">
        <is>
          <t>스마트스토어정산</t>
        </is>
      </c>
      <c r="C11" s="28" t="n">
        <v>1897884</v>
      </c>
      <c r="D11" s="27" t="inlineStr">
        <is>
          <t>매출</t>
        </is>
      </c>
      <c r="E11" s="27" t="inlineStr">
        <is>
          <t>상</t>
        </is>
      </c>
      <c r="F11" s="27" t="inlineStr">
        <is>
          <t>카카오뱅크</t>
        </is>
      </c>
      <c r="G11" s="27" t="inlineStr">
        <is>
          <t>입금</t>
        </is>
      </c>
    </row>
    <row r="12">
      <c r="A12" s="27" t="inlineStr">
        <is>
          <t>2025-11-01</t>
        </is>
      </c>
      <c r="B12" s="27" t="inlineStr">
        <is>
          <t>스마트스토어정산</t>
        </is>
      </c>
      <c r="C12" s="28" t="n">
        <v>5905619</v>
      </c>
      <c r="D12" s="27" t="inlineStr">
        <is>
          <t>매출</t>
        </is>
      </c>
      <c r="E12" s="27" t="inlineStr">
        <is>
          <t>상</t>
        </is>
      </c>
      <c r="F12" s="27" t="inlineStr">
        <is>
          <t>카카오뱅크</t>
        </is>
      </c>
      <c r="G12" s="27" t="inlineStr">
        <is>
          <t>입금</t>
        </is>
      </c>
    </row>
    <row r="13">
      <c r="A13" s="27" t="inlineStr">
        <is>
          <t>2025-11-01</t>
        </is>
      </c>
      <c r="B13" s="27" t="inlineStr">
        <is>
          <t>스마트스토어정산</t>
        </is>
      </c>
      <c r="C13" s="28" t="n">
        <v>214882</v>
      </c>
      <c r="D13" s="27" t="inlineStr">
        <is>
          <t>매출</t>
        </is>
      </c>
      <c r="E13" s="27" t="inlineStr">
        <is>
          <t>상</t>
        </is>
      </c>
      <c r="F13" s="27" t="inlineStr">
        <is>
          <t>카카오뱅크</t>
        </is>
      </c>
      <c r="G13" s="27" t="inlineStr">
        <is>
          <t>입금</t>
        </is>
      </c>
    </row>
    <row r="14">
      <c r="A14" s="27" t="inlineStr">
        <is>
          <t>2025-11-01</t>
        </is>
      </c>
      <c r="B14" s="27" t="inlineStr">
        <is>
          <t>스마트스토어정산</t>
        </is>
      </c>
      <c r="C14" s="28" t="n">
        <v>103588</v>
      </c>
      <c r="D14" s="27" t="inlineStr">
        <is>
          <t>매출</t>
        </is>
      </c>
      <c r="E14" s="27" t="inlineStr">
        <is>
          <t>상</t>
        </is>
      </c>
      <c r="F14" s="27" t="inlineStr">
        <is>
          <t>카카오뱅크</t>
        </is>
      </c>
      <c r="G14" s="27" t="inlineStr">
        <is>
          <t>입금</t>
        </is>
      </c>
    </row>
    <row r="15">
      <c r="A15" s="27" t="inlineStr">
        <is>
          <t>2025-11-01</t>
        </is>
      </c>
      <c r="B15" s="27" t="inlineStr">
        <is>
          <t>스마트스토어정산</t>
        </is>
      </c>
      <c r="C15" s="28" t="n">
        <v>6765981</v>
      </c>
      <c r="D15" s="27" t="inlineStr">
        <is>
          <t>매출</t>
        </is>
      </c>
      <c r="E15" s="27" t="inlineStr">
        <is>
          <t>상</t>
        </is>
      </c>
      <c r="F15" s="27" t="inlineStr">
        <is>
          <t>카카오뱅크</t>
        </is>
      </c>
      <c r="G15" s="27" t="inlineStr">
        <is>
          <t>입금</t>
        </is>
      </c>
    </row>
    <row r="16">
      <c r="A16" s="27" t="inlineStr">
        <is>
          <t>2025-11-01</t>
        </is>
      </c>
      <c r="B16" s="27" t="inlineStr">
        <is>
          <t>스마트스토어정산</t>
        </is>
      </c>
      <c r="C16" s="28" t="n">
        <v>301329</v>
      </c>
      <c r="D16" s="27" t="inlineStr">
        <is>
          <t>매출</t>
        </is>
      </c>
      <c r="E16" s="27" t="inlineStr">
        <is>
          <t>상</t>
        </is>
      </c>
      <c r="F16" s="27" t="inlineStr">
        <is>
          <t>카카오뱅크</t>
        </is>
      </c>
      <c r="G16" s="27" t="inlineStr">
        <is>
          <t>입금</t>
        </is>
      </c>
    </row>
    <row r="17">
      <c r="A17" s="27" t="inlineStr">
        <is>
          <t>2025-11-01</t>
        </is>
      </c>
      <c r="B17" s="27" t="inlineStr">
        <is>
          <t>주식회사 프링즈</t>
        </is>
      </c>
      <c r="C17" s="28" t="n">
        <v>464431</v>
      </c>
      <c r="D17" s="27" t="inlineStr">
        <is>
          <t>매출</t>
        </is>
      </c>
      <c r="E17" s="27" t="inlineStr">
        <is>
          <t>상</t>
        </is>
      </c>
      <c r="F17" s="27" t="inlineStr">
        <is>
          <t>카카오뱅크</t>
        </is>
      </c>
      <c r="G17" s="27" t="inlineStr">
        <is>
          <t>입금</t>
        </is>
      </c>
    </row>
    <row r="18">
      <c r="A18" s="27" t="inlineStr">
        <is>
          <t>2025-11-01</t>
        </is>
      </c>
      <c r="B18" s="27" t="inlineStr">
        <is>
          <t>주식회사 제이케이인</t>
        </is>
      </c>
      <c r="C18" s="28" t="n">
        <v>1044913</v>
      </c>
      <c r="D18" s="27" t="inlineStr">
        <is>
          <t>매출</t>
        </is>
      </c>
      <c r="E18" s="27" t="inlineStr">
        <is>
          <t>상</t>
        </is>
      </c>
      <c r="F18" s="27" t="inlineStr">
        <is>
          <t>카카오뱅크</t>
        </is>
      </c>
      <c r="G18" s="27" t="inlineStr">
        <is>
          <t>입금</t>
        </is>
      </c>
    </row>
    <row r="19">
      <c r="A19" s="27" t="inlineStr">
        <is>
          <t>2025-11-01</t>
        </is>
      </c>
      <c r="B19" s="27" t="inlineStr">
        <is>
          <t>배서영</t>
        </is>
      </c>
      <c r="C19" s="28" t="n">
        <v>112900</v>
      </c>
      <c r="D19" s="27" t="inlineStr">
        <is>
          <t>매출</t>
        </is>
      </c>
      <c r="E19" s="27" t="inlineStr">
        <is>
          <t>상</t>
        </is>
      </c>
      <c r="F19" s="27" t="inlineStr">
        <is>
          <t>카카오뱅크</t>
        </is>
      </c>
      <c r="G19" s="27" t="inlineStr">
        <is>
          <t>입금</t>
        </is>
      </c>
    </row>
    <row r="20">
      <c r="A20" s="27" t="inlineStr">
        <is>
          <t>2025-11-01</t>
        </is>
      </c>
      <c r="B20" s="27" t="inlineStr">
        <is>
          <t>강현준</t>
        </is>
      </c>
      <c r="C20" s="28" t="n">
        <v>20000000</v>
      </c>
      <c r="D20" s="27" t="inlineStr">
        <is>
          <t>제외(차입금)</t>
        </is>
      </c>
      <c r="E20" s="27" t="inlineStr">
        <is>
          <t>상</t>
        </is>
      </c>
      <c r="F20" s="27" t="inlineStr">
        <is>
          <t>카카오뱅크</t>
        </is>
      </c>
      <c r="G20" s="27" t="inlineStr">
        <is>
          <t>입금</t>
        </is>
      </c>
    </row>
    <row r="21">
      <c r="A21" s="27" t="inlineStr">
        <is>
          <t>2025-11-01</t>
        </is>
      </c>
      <c r="B21" s="27" t="inlineStr">
        <is>
          <t>예금이자</t>
        </is>
      </c>
      <c r="C21" s="28" t="n">
        <v>730</v>
      </c>
      <c r="D21" s="27" t="inlineStr">
        <is>
          <t>제외(이자)</t>
        </is>
      </c>
      <c r="E21" s="27" t="inlineStr">
        <is>
          <t>상</t>
        </is>
      </c>
      <c r="F21" s="27" t="inlineStr">
        <is>
          <t>카카오뱅크</t>
        </is>
      </c>
      <c r="G21" s="27" t="inlineStr">
        <is>
          <t>입금</t>
        </is>
      </c>
    </row>
    <row r="22">
      <c r="A22" s="29" t="inlineStr">
        <is>
          <t>2025-11-01</t>
        </is>
      </c>
      <c r="B22" s="29" t="inlineStr">
        <is>
          <t>택배비</t>
        </is>
      </c>
      <c r="C22" s="30" t="n">
        <v>95000</v>
      </c>
      <c r="D22" s="29" t="inlineStr">
        <is>
          <t>매출원가</t>
        </is>
      </c>
      <c r="E22" s="29" t="inlineStr">
        <is>
          <t>상</t>
        </is>
      </c>
      <c r="F22" s="29" t="inlineStr">
        <is>
          <t>카카오뱅크</t>
        </is>
      </c>
      <c r="G22" s="29" t="inlineStr">
        <is>
          <t>출금</t>
        </is>
      </c>
    </row>
    <row r="23">
      <c r="A23" s="29" t="inlineStr">
        <is>
          <t>2025-11-07</t>
        </is>
      </c>
      <c r="B23" s="29" t="inlineStr">
        <is>
          <t>쑥차 구매</t>
        </is>
      </c>
      <c r="C23" s="30" t="n">
        <v>25300000</v>
      </c>
      <c r="D23" s="29" t="inlineStr">
        <is>
          <t>매출원가</t>
        </is>
      </c>
      <c r="E23" s="29" t="inlineStr">
        <is>
          <t>상</t>
        </is>
      </c>
      <c r="F23" s="29" t="inlineStr">
        <is>
          <t>카카오뱅크</t>
        </is>
      </c>
      <c r="G23" s="29" t="inlineStr">
        <is>
          <t>출금</t>
        </is>
      </c>
    </row>
    <row r="24">
      <c r="A24" s="29" t="inlineStr">
        <is>
          <t>2025-11-15</t>
        </is>
      </c>
      <c r="B24" s="29" t="inlineStr">
        <is>
          <t>택배비</t>
        </is>
      </c>
      <c r="C24" s="30" t="n">
        <v>1397330</v>
      </c>
      <c r="D24" s="29" t="inlineStr">
        <is>
          <t>매출원가</t>
        </is>
      </c>
      <c r="E24" s="29" t="inlineStr">
        <is>
          <t>상</t>
        </is>
      </c>
      <c r="F24" s="29" t="inlineStr">
        <is>
          <t>카카오뱅크</t>
        </is>
      </c>
      <c r="G24" s="29" t="inlineStr">
        <is>
          <t>출금</t>
        </is>
      </c>
    </row>
    <row r="25">
      <c r="A25" s="29" t="inlineStr">
        <is>
          <t>2025-11-21</t>
        </is>
      </c>
      <c r="B25" s="29" t="inlineStr">
        <is>
          <t>택배비</t>
        </is>
      </c>
      <c r="C25" s="30" t="n">
        <v>1025460</v>
      </c>
      <c r="D25" s="29" t="inlineStr">
        <is>
          <t>매출원가</t>
        </is>
      </c>
      <c r="E25" s="29" t="inlineStr">
        <is>
          <t>상</t>
        </is>
      </c>
      <c r="F25" s="29" t="inlineStr">
        <is>
          <t>카카오뱅크</t>
        </is>
      </c>
      <c r="G25" s="29" t="inlineStr">
        <is>
          <t>출금</t>
        </is>
      </c>
    </row>
    <row r="26">
      <c r="A26" s="29" t="inlineStr">
        <is>
          <t>2025-11-01</t>
        </is>
      </c>
      <c r="B26" s="29" t="inlineStr">
        <is>
          <t>안희은세무사</t>
        </is>
      </c>
      <c r="C26" s="30" t="n">
        <v>110000</v>
      </c>
      <c r="D26" s="29" t="inlineStr">
        <is>
          <t>운영비</t>
        </is>
      </c>
      <c r="E26" s="29" t="inlineStr">
        <is>
          <t>상</t>
        </is>
      </c>
      <c r="F26" s="29" t="inlineStr">
        <is>
          <t>카카오뱅크</t>
        </is>
      </c>
      <c r="G26" s="29" t="inlineStr">
        <is>
          <t>출금</t>
        </is>
      </c>
    </row>
    <row r="27">
      <c r="A27" s="29" t="inlineStr">
        <is>
          <t>2025-11-26</t>
        </is>
      </c>
      <c r="B27" s="29" t="inlineStr">
        <is>
          <t>대여금 상환</t>
        </is>
      </c>
      <c r="C27" s="30" t="n">
        <v>20000000</v>
      </c>
      <c r="D27" s="29" t="inlineStr">
        <is>
          <t>제외(차입금상환)</t>
        </is>
      </c>
      <c r="E27" s="29" t="inlineStr">
        <is>
          <t>상</t>
        </is>
      </c>
      <c r="F27" s="29" t="inlineStr">
        <is>
          <t>카카오뱅크</t>
        </is>
      </c>
      <c r="G27" s="29" t="inlineStr">
        <is>
          <t>출금</t>
        </is>
      </c>
    </row>
    <row r="28">
      <c r="A28" s="29" t="inlineStr">
        <is>
          <t>2025-11-27</t>
        </is>
      </c>
      <c r="B28" s="29" t="inlineStr">
        <is>
          <t>쑥차 구매</t>
        </is>
      </c>
      <c r="C28" s="30" t="n">
        <v>506000</v>
      </c>
      <c r="D28" s="29" t="inlineStr">
        <is>
          <t>매출원가</t>
        </is>
      </c>
      <c r="E28" s="29" t="inlineStr">
        <is>
          <t>상</t>
        </is>
      </c>
      <c r="F28" s="29" t="inlineStr">
        <is>
          <t>카카오뱅크</t>
        </is>
      </c>
      <c r="G28" s="29" t="inlineStr">
        <is>
          <t>출금</t>
        </is>
      </c>
    </row>
    <row r="29">
      <c r="A29" s="29" t="inlineStr">
        <is>
          <t>2025-11-27</t>
        </is>
      </c>
      <c r="B29" s="29" t="inlineStr">
        <is>
          <t>강은송</t>
        </is>
      </c>
      <c r="C29" s="30" t="n">
        <v>800000</v>
      </c>
      <c r="D29" s="29" t="inlineStr">
        <is>
          <t>제외(자기이체)</t>
        </is>
      </c>
      <c r="E29" s="29" t="inlineStr">
        <is>
          <t>상</t>
        </is>
      </c>
      <c r="F29" s="29" t="inlineStr">
        <is>
          <t>카카오뱅크</t>
        </is>
      </c>
      <c r="G29" s="29" t="inlineStr">
        <is>
          <t>출금</t>
        </is>
      </c>
    </row>
    <row r="30">
      <c r="A30" s="27" t="inlineStr">
        <is>
          <t>2025-12-01</t>
        </is>
      </c>
      <c r="B30" s="27" t="inlineStr">
        <is>
          <t>스마트스토어정산</t>
        </is>
      </c>
      <c r="C30" s="28" t="n">
        <v>67176</v>
      </c>
      <c r="D30" s="27" t="inlineStr">
        <is>
          <t>매출</t>
        </is>
      </c>
      <c r="E30" s="27" t="inlineStr">
        <is>
          <t>상</t>
        </is>
      </c>
      <c r="F30" s="27" t="inlineStr">
        <is>
          <t>카카오뱅크</t>
        </is>
      </c>
      <c r="G30" s="27" t="inlineStr">
        <is>
          <t>입금</t>
        </is>
      </c>
    </row>
    <row r="31">
      <c r="A31" s="27" t="inlineStr">
        <is>
          <t>2025-12-01</t>
        </is>
      </c>
      <c r="B31" s="27" t="inlineStr">
        <is>
          <t>스마트스토어정산</t>
        </is>
      </c>
      <c r="C31" s="28" t="n">
        <v>3000</v>
      </c>
      <c r="D31" s="27" t="inlineStr">
        <is>
          <t>매출</t>
        </is>
      </c>
      <c r="E31" s="27" t="inlineStr">
        <is>
          <t>상</t>
        </is>
      </c>
      <c r="F31" s="27" t="inlineStr">
        <is>
          <t>카카오뱅크</t>
        </is>
      </c>
      <c r="G31" s="27" t="inlineStr">
        <is>
          <t>입금</t>
        </is>
      </c>
    </row>
    <row r="32">
      <c r="A32" s="27" t="inlineStr">
        <is>
          <t>2025-12-01</t>
        </is>
      </c>
      <c r="B32" s="27" t="inlineStr">
        <is>
          <t>스마트스토어정산</t>
        </is>
      </c>
      <c r="C32" s="28" t="n">
        <v>1145284</v>
      </c>
      <c r="D32" s="27" t="inlineStr">
        <is>
          <t>매출</t>
        </is>
      </c>
      <c r="E32" s="27" t="inlineStr">
        <is>
          <t>상</t>
        </is>
      </c>
      <c r="F32" s="27" t="inlineStr">
        <is>
          <t>카카오뱅크</t>
        </is>
      </c>
      <c r="G32" s="27" t="inlineStr">
        <is>
          <t>입금</t>
        </is>
      </c>
    </row>
    <row r="33">
      <c r="A33" s="27" t="inlineStr">
        <is>
          <t>2025-12-01</t>
        </is>
      </c>
      <c r="B33" s="27" t="inlineStr">
        <is>
          <t>스마트스토어정산</t>
        </is>
      </c>
      <c r="C33" s="28" t="n">
        <v>1269742</v>
      </c>
      <c r="D33" s="27" t="inlineStr">
        <is>
          <t>매출</t>
        </is>
      </c>
      <c r="E33" s="27" t="inlineStr">
        <is>
          <t>상</t>
        </is>
      </c>
      <c r="F33" s="27" t="inlineStr">
        <is>
          <t>카카오뱅크</t>
        </is>
      </c>
      <c r="G33" s="27" t="inlineStr">
        <is>
          <t>입금</t>
        </is>
      </c>
    </row>
    <row r="34">
      <c r="A34" s="27" t="inlineStr">
        <is>
          <t>2025-12-01</t>
        </is>
      </c>
      <c r="B34" s="27" t="inlineStr">
        <is>
          <t>스마트스토어정산</t>
        </is>
      </c>
      <c r="C34" s="28" t="n">
        <v>731869</v>
      </c>
      <c r="D34" s="27" t="inlineStr">
        <is>
          <t>매출</t>
        </is>
      </c>
      <c r="E34" s="27" t="inlineStr">
        <is>
          <t>상</t>
        </is>
      </c>
      <c r="F34" s="27" t="inlineStr">
        <is>
          <t>카카오뱅크</t>
        </is>
      </c>
      <c r="G34" s="27" t="inlineStr">
        <is>
          <t>입금</t>
        </is>
      </c>
    </row>
    <row r="35">
      <c r="A35" s="27" t="inlineStr">
        <is>
          <t>2025-12-01</t>
        </is>
      </c>
      <c r="B35" s="27" t="inlineStr">
        <is>
          <t>스마트스토어정산</t>
        </is>
      </c>
      <c r="C35" s="28" t="n">
        <v>6604493</v>
      </c>
      <c r="D35" s="27" t="inlineStr">
        <is>
          <t>매출</t>
        </is>
      </c>
      <c r="E35" s="27" t="inlineStr">
        <is>
          <t>상</t>
        </is>
      </c>
      <c r="F35" s="27" t="inlineStr">
        <is>
          <t>카카오뱅크</t>
        </is>
      </c>
      <c r="G35" s="27" t="inlineStr">
        <is>
          <t>입금</t>
        </is>
      </c>
    </row>
    <row r="36">
      <c r="A36" s="27" t="inlineStr">
        <is>
          <t>2025-12-01</t>
        </is>
      </c>
      <c r="B36" s="27" t="inlineStr">
        <is>
          <t>스마트스토어정산</t>
        </is>
      </c>
      <c r="C36" s="28" t="n">
        <v>1631143</v>
      </c>
      <c r="D36" s="27" t="inlineStr">
        <is>
          <t>매출</t>
        </is>
      </c>
      <c r="E36" s="27" t="inlineStr">
        <is>
          <t>상</t>
        </is>
      </c>
      <c r="F36" s="27" t="inlineStr">
        <is>
          <t>카카오뱅크</t>
        </is>
      </c>
      <c r="G36" s="27" t="inlineStr">
        <is>
          <t>입금</t>
        </is>
      </c>
    </row>
    <row r="37">
      <c r="A37" s="27" t="inlineStr">
        <is>
          <t>2025-12-01</t>
        </is>
      </c>
      <c r="B37" s="27" t="inlineStr">
        <is>
          <t>스마트스토어정산</t>
        </is>
      </c>
      <c r="C37" s="28" t="n">
        <v>2702962</v>
      </c>
      <c r="D37" s="27" t="inlineStr">
        <is>
          <t>매출</t>
        </is>
      </c>
      <c r="E37" s="27" t="inlineStr">
        <is>
          <t>상</t>
        </is>
      </c>
      <c r="F37" s="27" t="inlineStr">
        <is>
          <t>카카오뱅크</t>
        </is>
      </c>
      <c r="G37" s="27" t="inlineStr">
        <is>
          <t>입금</t>
        </is>
      </c>
    </row>
    <row r="38">
      <c r="A38" s="27" t="inlineStr">
        <is>
          <t>2025-12-01</t>
        </is>
      </c>
      <c r="B38" s="27" t="inlineStr">
        <is>
          <t>스마트스토어정산</t>
        </is>
      </c>
      <c r="C38" s="28" t="n">
        <v>7057239</v>
      </c>
      <c r="D38" s="27" t="inlineStr">
        <is>
          <t>매출</t>
        </is>
      </c>
      <c r="E38" s="27" t="inlineStr">
        <is>
          <t>상</t>
        </is>
      </c>
      <c r="F38" s="27" t="inlineStr">
        <is>
          <t>카카오뱅크</t>
        </is>
      </c>
      <c r="G38" s="27" t="inlineStr">
        <is>
          <t>입금</t>
        </is>
      </c>
    </row>
    <row r="39">
      <c r="A39" s="27" t="inlineStr">
        <is>
          <t>2025-12-01</t>
        </is>
      </c>
      <c r="B39" s="27" t="inlineStr">
        <is>
          <t>스마트스토어정산</t>
        </is>
      </c>
      <c r="C39" s="28" t="n">
        <v>799233</v>
      </c>
      <c r="D39" s="27" t="inlineStr">
        <is>
          <t>매출</t>
        </is>
      </c>
      <c r="E39" s="27" t="inlineStr">
        <is>
          <t>상</t>
        </is>
      </c>
      <c r="F39" s="27" t="inlineStr">
        <is>
          <t>카카오뱅크</t>
        </is>
      </c>
      <c r="G39" s="27" t="inlineStr">
        <is>
          <t>입금</t>
        </is>
      </c>
    </row>
    <row r="40">
      <c r="A40" s="27" t="inlineStr">
        <is>
          <t>2025-12-01</t>
        </is>
      </c>
      <c r="B40" s="27" t="inlineStr">
        <is>
          <t>스마트스토어정산</t>
        </is>
      </c>
      <c r="C40" s="28" t="n">
        <v>8235636</v>
      </c>
      <c r="D40" s="27" t="inlineStr">
        <is>
          <t>매출</t>
        </is>
      </c>
      <c r="E40" s="27" t="inlineStr">
        <is>
          <t>상</t>
        </is>
      </c>
      <c r="F40" s="27" t="inlineStr">
        <is>
          <t>카카오뱅크</t>
        </is>
      </c>
      <c r="G40" s="27" t="inlineStr">
        <is>
          <t>입금</t>
        </is>
      </c>
    </row>
    <row r="41">
      <c r="A41" s="27" t="inlineStr">
        <is>
          <t>2025-12-01</t>
        </is>
      </c>
      <c r="B41" s="27" t="inlineStr">
        <is>
          <t>스마트스토어정산</t>
        </is>
      </c>
      <c r="C41" s="28" t="n">
        <v>71820</v>
      </c>
      <c r="D41" s="27" t="inlineStr">
        <is>
          <t>매출</t>
        </is>
      </c>
      <c r="E41" s="27" t="inlineStr">
        <is>
          <t>상</t>
        </is>
      </c>
      <c r="F41" s="27" t="inlineStr">
        <is>
          <t>카카오뱅크</t>
        </is>
      </c>
      <c r="G41" s="27" t="inlineStr">
        <is>
          <t>입금</t>
        </is>
      </c>
    </row>
    <row r="42">
      <c r="A42" s="27" t="inlineStr">
        <is>
          <t>2025-12-01</t>
        </is>
      </c>
      <c r="B42" s="27" t="inlineStr">
        <is>
          <t>스마트스토어정산</t>
        </is>
      </c>
      <c r="C42" s="28" t="n">
        <v>81428</v>
      </c>
      <c r="D42" s="27" t="inlineStr">
        <is>
          <t>매출</t>
        </is>
      </c>
      <c r="E42" s="27" t="inlineStr">
        <is>
          <t>상</t>
        </is>
      </c>
      <c r="F42" s="27" t="inlineStr">
        <is>
          <t>카카오뱅크</t>
        </is>
      </c>
      <c r="G42" s="27" t="inlineStr">
        <is>
          <t>입금</t>
        </is>
      </c>
    </row>
    <row r="43">
      <c r="A43" s="27" t="inlineStr">
        <is>
          <t>2025-12-01</t>
        </is>
      </c>
      <c r="B43" s="27" t="inlineStr">
        <is>
          <t>스마트스토어정산</t>
        </is>
      </c>
      <c r="C43" s="28" t="n">
        <v>35814</v>
      </c>
      <c r="D43" s="27" t="inlineStr">
        <is>
          <t>매출</t>
        </is>
      </c>
      <c r="E43" s="27" t="inlineStr">
        <is>
          <t>상</t>
        </is>
      </c>
      <c r="F43" s="27" t="inlineStr">
        <is>
          <t>카카오뱅크</t>
        </is>
      </c>
      <c r="G43" s="27" t="inlineStr">
        <is>
          <t>입금</t>
        </is>
      </c>
    </row>
    <row r="44">
      <c r="A44" s="27" t="inlineStr">
        <is>
          <t>2025-12-01</t>
        </is>
      </c>
      <c r="B44" s="27" t="inlineStr">
        <is>
          <t>스마트스토어정산</t>
        </is>
      </c>
      <c r="C44" s="28" t="n">
        <v>588571</v>
      </c>
      <c r="D44" s="27" t="inlineStr">
        <is>
          <t>매출</t>
        </is>
      </c>
      <c r="E44" s="27" t="inlineStr">
        <is>
          <t>상</t>
        </is>
      </c>
      <c r="F44" s="27" t="inlineStr">
        <is>
          <t>카카오뱅크</t>
        </is>
      </c>
      <c r="G44" s="27" t="inlineStr">
        <is>
          <t>입금</t>
        </is>
      </c>
    </row>
    <row r="45">
      <c r="A45" s="27" t="inlineStr">
        <is>
          <t>2025-12-01</t>
        </is>
      </c>
      <c r="B45" s="27" t="inlineStr">
        <is>
          <t>주식회사 제이케이인</t>
        </is>
      </c>
      <c r="C45" s="28" t="n">
        <v>1082750</v>
      </c>
      <c r="D45" s="27" t="inlineStr">
        <is>
          <t>매출</t>
        </is>
      </c>
      <c r="E45" s="27" t="inlineStr">
        <is>
          <t>상</t>
        </is>
      </c>
      <c r="F45" s="27" t="inlineStr">
        <is>
          <t>카카오뱅크</t>
        </is>
      </c>
      <c r="G45" s="27" t="inlineStr">
        <is>
          <t>입금</t>
        </is>
      </c>
    </row>
    <row r="46">
      <c r="A46" s="27" t="inlineStr">
        <is>
          <t>2025-12-01</t>
        </is>
      </c>
      <c r="B46" s="27" t="inlineStr">
        <is>
          <t>주식회사 프링즈</t>
        </is>
      </c>
      <c r="C46" s="28" t="n">
        <v>2011979</v>
      </c>
      <c r="D46" s="27" t="inlineStr">
        <is>
          <t>매출</t>
        </is>
      </c>
      <c r="E46" s="27" t="inlineStr">
        <is>
          <t>상</t>
        </is>
      </c>
      <c r="F46" s="27" t="inlineStr">
        <is>
          <t>카카오뱅크</t>
        </is>
      </c>
      <c r="G46" s="27" t="inlineStr">
        <is>
          <t>입금</t>
        </is>
      </c>
    </row>
    <row r="47">
      <c r="A47" s="27" t="inlineStr">
        <is>
          <t>2025-12-01</t>
        </is>
      </c>
      <c r="B47" s="27" t="inlineStr">
        <is>
          <t>이지연</t>
        </is>
      </c>
      <c r="C47" s="28" t="n">
        <v>63500</v>
      </c>
      <c r="D47" s="27" t="inlineStr">
        <is>
          <t>매출</t>
        </is>
      </c>
      <c r="E47" s="27" t="inlineStr">
        <is>
          <t>상</t>
        </is>
      </c>
      <c r="F47" s="27" t="inlineStr">
        <is>
          <t>카카오뱅크</t>
        </is>
      </c>
      <c r="G47" s="27" t="inlineStr">
        <is>
          <t>입금</t>
        </is>
      </c>
    </row>
    <row r="48">
      <c r="A48" s="27" t="inlineStr">
        <is>
          <t>2025-12-01</t>
        </is>
      </c>
      <c r="B48" s="27" t="inlineStr">
        <is>
          <t>백은미</t>
        </is>
      </c>
      <c r="C48" s="28" t="n">
        <v>9900</v>
      </c>
      <c r="D48" s="27" t="inlineStr">
        <is>
          <t>매출</t>
        </is>
      </c>
      <c r="E48" s="27" t="inlineStr">
        <is>
          <t>상</t>
        </is>
      </c>
      <c r="F48" s="27" t="inlineStr">
        <is>
          <t>카카오뱅크</t>
        </is>
      </c>
      <c r="G48" s="27" t="inlineStr">
        <is>
          <t>입금</t>
        </is>
      </c>
    </row>
    <row r="49">
      <c r="A49" s="27" t="inlineStr">
        <is>
          <t>2025-12-01</t>
        </is>
      </c>
      <c r="B49" s="27" t="inlineStr">
        <is>
          <t>홍지영</t>
        </is>
      </c>
      <c r="C49" s="28" t="n">
        <v>9900</v>
      </c>
      <c r="D49" s="27" t="inlineStr">
        <is>
          <t>매출</t>
        </is>
      </c>
      <c r="E49" s="27" t="inlineStr">
        <is>
          <t>상</t>
        </is>
      </c>
      <c r="F49" s="27" t="inlineStr">
        <is>
          <t>카카오뱅크</t>
        </is>
      </c>
      <c r="G49" s="27" t="inlineStr">
        <is>
          <t>입금</t>
        </is>
      </c>
    </row>
    <row r="50">
      <c r="A50" s="27" t="inlineStr">
        <is>
          <t>2025-12-01</t>
        </is>
      </c>
      <c r="B50" s="27" t="inlineStr">
        <is>
          <t>최선하</t>
        </is>
      </c>
      <c r="C50" s="28" t="n">
        <v>36900</v>
      </c>
      <c r="D50" s="27" t="inlineStr">
        <is>
          <t>매출</t>
        </is>
      </c>
      <c r="E50" s="27" t="inlineStr">
        <is>
          <t>상</t>
        </is>
      </c>
      <c r="F50" s="27" t="inlineStr">
        <is>
          <t>카카오뱅크</t>
        </is>
      </c>
      <c r="G50" s="27" t="inlineStr">
        <is>
          <t>입금</t>
        </is>
      </c>
    </row>
    <row r="51">
      <c r="A51" s="27" t="inlineStr">
        <is>
          <t>2025-12-01</t>
        </is>
      </c>
      <c r="B51" s="27" t="inlineStr">
        <is>
          <t>신혜영</t>
        </is>
      </c>
      <c r="C51" s="28" t="n">
        <v>3500</v>
      </c>
      <c r="D51" s="27" t="inlineStr">
        <is>
          <t>매출</t>
        </is>
      </c>
      <c r="E51" s="27" t="inlineStr">
        <is>
          <t>상</t>
        </is>
      </c>
      <c r="F51" s="27" t="inlineStr">
        <is>
          <t>카카오뱅크</t>
        </is>
      </c>
      <c r="G51" s="27" t="inlineStr">
        <is>
          <t>입금</t>
        </is>
      </c>
    </row>
    <row r="52">
      <c r="A52" s="27" t="inlineStr">
        <is>
          <t>2025-12-01</t>
        </is>
      </c>
      <c r="B52" s="27" t="inlineStr">
        <is>
          <t>강현준</t>
        </is>
      </c>
      <c r="C52" s="28" t="n">
        <v>15000000</v>
      </c>
      <c r="D52" s="27" t="inlineStr">
        <is>
          <t>제외(차입금)</t>
        </is>
      </c>
      <c r="E52" s="27" t="inlineStr">
        <is>
          <t>상</t>
        </is>
      </c>
      <c r="F52" s="27" t="inlineStr">
        <is>
          <t>카카오뱅크</t>
        </is>
      </c>
      <c r="G52" s="27" t="inlineStr">
        <is>
          <t>입금</t>
        </is>
      </c>
    </row>
    <row r="53">
      <c r="A53" s="27" t="inlineStr">
        <is>
          <t>2025-12-01</t>
        </is>
      </c>
      <c r="B53" s="27" t="inlineStr">
        <is>
          <t>강은송</t>
        </is>
      </c>
      <c r="C53" s="28" t="n">
        <v>800000</v>
      </c>
      <c r="D53" s="27" t="inlineStr">
        <is>
          <t>제외(자기이체)</t>
        </is>
      </c>
      <c r="E53" s="27" t="inlineStr">
        <is>
          <t>상</t>
        </is>
      </c>
      <c r="F53" s="27" t="inlineStr">
        <is>
          <t>카카오뱅크</t>
        </is>
      </c>
      <c r="G53" s="27" t="inlineStr">
        <is>
          <t>입금</t>
        </is>
      </c>
    </row>
    <row r="54">
      <c r="A54" s="27" t="inlineStr">
        <is>
          <t>2025-12-01</t>
        </is>
      </c>
      <c r="B54" s="27" t="inlineStr">
        <is>
          <t>강은송</t>
        </is>
      </c>
      <c r="C54" s="28" t="n">
        <v>1000000</v>
      </c>
      <c r="D54" s="27" t="inlineStr">
        <is>
          <t>제외(자기이체)</t>
        </is>
      </c>
      <c r="E54" s="27" t="inlineStr">
        <is>
          <t>상</t>
        </is>
      </c>
      <c r="F54" s="27" t="inlineStr">
        <is>
          <t>카카오뱅크</t>
        </is>
      </c>
      <c r="G54" s="27" t="inlineStr">
        <is>
          <t>입금</t>
        </is>
      </c>
    </row>
    <row r="55">
      <c r="A55" s="27" t="inlineStr">
        <is>
          <t>2025-12-01</t>
        </is>
      </c>
      <c r="B55" s="27" t="inlineStr">
        <is>
          <t>세이프박스</t>
        </is>
      </c>
      <c r="C55" s="28" t="n">
        <v>100000</v>
      </c>
      <c r="D55" s="27" t="inlineStr">
        <is>
          <t>제외(저축이체)</t>
        </is>
      </c>
      <c r="E55" s="27" t="inlineStr">
        <is>
          <t>상</t>
        </is>
      </c>
      <c r="F55" s="27" t="inlineStr">
        <is>
          <t>카카오뱅크</t>
        </is>
      </c>
      <c r="G55" s="27" t="inlineStr">
        <is>
          <t>입금</t>
        </is>
      </c>
    </row>
    <row r="56">
      <c r="A56" s="27" t="inlineStr">
        <is>
          <t>2025-12-01</t>
        </is>
      </c>
      <c r="B56" s="27" t="inlineStr">
        <is>
          <t>세이프박스</t>
        </is>
      </c>
      <c r="C56" s="28" t="n">
        <v>30000</v>
      </c>
      <c r="D56" s="27" t="inlineStr">
        <is>
          <t>제외(저축이체)</t>
        </is>
      </c>
      <c r="E56" s="27" t="inlineStr">
        <is>
          <t>상</t>
        </is>
      </c>
      <c r="F56" s="27" t="inlineStr">
        <is>
          <t>카카오뱅크</t>
        </is>
      </c>
      <c r="G56" s="27" t="inlineStr">
        <is>
          <t>입금</t>
        </is>
      </c>
    </row>
    <row r="57">
      <c r="A57" s="27" t="inlineStr">
        <is>
          <t>2025-12-01</t>
        </is>
      </c>
      <c r="B57" s="27" t="inlineStr">
        <is>
          <t>예금이자</t>
        </is>
      </c>
      <c r="C57" s="28" t="n">
        <v>797</v>
      </c>
      <c r="D57" s="27" t="inlineStr">
        <is>
          <t>제외(이자)</t>
        </is>
      </c>
      <c r="E57" s="27" t="inlineStr">
        <is>
          <t>상</t>
        </is>
      </c>
      <c r="F57" s="27" t="inlineStr">
        <is>
          <t>카카오뱅크</t>
        </is>
      </c>
      <c r="G57" s="27" t="inlineStr">
        <is>
          <t>입금</t>
        </is>
      </c>
    </row>
    <row r="58">
      <c r="A58" s="29" t="inlineStr">
        <is>
          <t>2025-12-01</t>
        </is>
      </c>
      <c r="B58" s="29" t="inlineStr">
        <is>
          <t>안희은세무사</t>
        </is>
      </c>
      <c r="C58" s="30" t="n">
        <v>110000</v>
      </c>
      <c r="D58" s="29" t="inlineStr">
        <is>
          <t>운영비</t>
        </is>
      </c>
      <c r="E58" s="29" t="inlineStr">
        <is>
          <t>상</t>
        </is>
      </c>
      <c r="F58" s="29" t="inlineStr">
        <is>
          <t>카카오뱅크</t>
        </is>
      </c>
      <c r="G58" s="29" t="inlineStr">
        <is>
          <t>출금</t>
        </is>
      </c>
    </row>
    <row r="59">
      <c r="A59" s="29" t="inlineStr">
        <is>
          <t>2025-12-05</t>
        </is>
      </c>
      <c r="B59" s="29" t="inlineStr">
        <is>
          <t>쑥차 구매</t>
        </is>
      </c>
      <c r="C59" s="30" t="n">
        <v>11000000</v>
      </c>
      <c r="D59" s="29" t="inlineStr">
        <is>
          <t>매출원가</t>
        </is>
      </c>
      <c r="E59" s="29" t="inlineStr">
        <is>
          <t>상</t>
        </is>
      </c>
      <c r="F59" s="29" t="inlineStr">
        <is>
          <t>카카오뱅크</t>
        </is>
      </c>
      <c r="G59" s="29" t="inlineStr">
        <is>
          <t>출금</t>
        </is>
      </c>
    </row>
    <row r="60">
      <c r="A60" s="29" t="inlineStr">
        <is>
          <t>2025-12-10</t>
        </is>
      </c>
      <c r="B60" s="29" t="inlineStr">
        <is>
          <t>모델링팩 구매대금</t>
        </is>
      </c>
      <c r="C60" s="30" t="n">
        <v>4300000</v>
      </c>
      <c r="D60" s="29" t="inlineStr">
        <is>
          <t>매출원가</t>
        </is>
      </c>
      <c r="E60" s="29" t="inlineStr">
        <is>
          <t>상</t>
        </is>
      </c>
      <c r="F60" s="29" t="inlineStr">
        <is>
          <t>카카오뱅크</t>
        </is>
      </c>
      <c r="G60" s="29" t="inlineStr">
        <is>
          <t>출금</t>
        </is>
      </c>
    </row>
    <row r="61">
      <c r="A61" s="29" t="inlineStr">
        <is>
          <t>2025-12-10</t>
        </is>
      </c>
      <c r="B61" s="29" t="inlineStr">
        <is>
          <t>택배비</t>
        </is>
      </c>
      <c r="C61" s="30" t="n">
        <v>870460</v>
      </c>
      <c r="D61" s="29" t="inlineStr">
        <is>
          <t>매출원가</t>
        </is>
      </c>
      <c r="E61" s="29" t="inlineStr">
        <is>
          <t>상</t>
        </is>
      </c>
      <c r="F61" s="29" t="inlineStr">
        <is>
          <t>카카오뱅크</t>
        </is>
      </c>
      <c r="G61" s="29" t="inlineStr">
        <is>
          <t>출금</t>
        </is>
      </c>
    </row>
    <row r="62">
      <c r="A62" s="29" t="inlineStr">
        <is>
          <t>2025-12-10</t>
        </is>
      </c>
      <c r="B62" s="29" t="inlineStr">
        <is>
          <t>사은품 구매</t>
        </is>
      </c>
      <c r="C62" s="30" t="n">
        <v>1000000</v>
      </c>
      <c r="D62" s="29" t="inlineStr">
        <is>
          <t>운영비</t>
        </is>
      </c>
      <c r="E62" s="29" t="inlineStr">
        <is>
          <t>상</t>
        </is>
      </c>
      <c r="F62" s="29" t="inlineStr">
        <is>
          <t>카카오뱅크</t>
        </is>
      </c>
      <c r="G62" s="29" t="inlineStr">
        <is>
          <t>출금</t>
        </is>
      </c>
    </row>
    <row r="63">
      <c r="A63" s="29" t="inlineStr">
        <is>
          <t>2025-12-16</t>
        </is>
      </c>
      <c r="B63" s="29" t="inlineStr">
        <is>
          <t>택배비</t>
        </is>
      </c>
      <c r="C63" s="30" t="n">
        <v>528210</v>
      </c>
      <c r="D63" s="29" t="inlineStr">
        <is>
          <t>매출원가</t>
        </is>
      </c>
      <c r="E63" s="29" t="inlineStr">
        <is>
          <t>상</t>
        </is>
      </c>
      <c r="F63" s="29" t="inlineStr">
        <is>
          <t>카카오뱅크</t>
        </is>
      </c>
      <c r="G63" s="29" t="inlineStr">
        <is>
          <t>출금</t>
        </is>
      </c>
    </row>
    <row r="64">
      <c r="A64" s="29" t="inlineStr">
        <is>
          <t>2025-12-17</t>
        </is>
      </c>
      <c r="B64" s="29" t="inlineStr">
        <is>
          <t>사은품비</t>
        </is>
      </c>
      <c r="C64" s="30" t="n">
        <v>132000</v>
      </c>
      <c r="D64" s="29" t="inlineStr">
        <is>
          <t>운영비</t>
        </is>
      </c>
      <c r="E64" s="29" t="inlineStr">
        <is>
          <t>상</t>
        </is>
      </c>
      <c r="F64" s="29" t="inlineStr">
        <is>
          <t>카카오뱅크</t>
        </is>
      </c>
      <c r="G64" s="29" t="inlineStr">
        <is>
          <t>출금</t>
        </is>
      </c>
    </row>
    <row r="65">
      <c r="A65" s="29" t="inlineStr">
        <is>
          <t>2025-12-17</t>
        </is>
      </c>
      <c r="B65" s="29" t="inlineStr">
        <is>
          <t>사은품 구매비</t>
        </is>
      </c>
      <c r="C65" s="30" t="n">
        <v>160000</v>
      </c>
      <c r="D65" s="29" t="inlineStr">
        <is>
          <t>운영비</t>
        </is>
      </c>
      <c r="E65" s="29" t="inlineStr">
        <is>
          <t>상</t>
        </is>
      </c>
      <c r="F65" s="29" t="inlineStr">
        <is>
          <t>카카오뱅크</t>
        </is>
      </c>
      <c r="G65" s="29" t="inlineStr">
        <is>
          <t>출금</t>
        </is>
      </c>
    </row>
    <row r="66">
      <c r="A66" s="29" t="inlineStr">
        <is>
          <t>2025-12-19</t>
        </is>
      </c>
      <c r="B66" s="29" t="inlineStr">
        <is>
          <t>인건비</t>
        </is>
      </c>
      <c r="C66" s="30" t="n">
        <v>2200000</v>
      </c>
      <c r="D66" s="29" t="inlineStr">
        <is>
          <t>인건비</t>
        </is>
      </c>
      <c r="E66" s="29" t="inlineStr">
        <is>
          <t>상</t>
        </is>
      </c>
      <c r="F66" s="29" t="inlineStr">
        <is>
          <t>카카오뱅크</t>
        </is>
      </c>
      <c r="G66" s="29" t="inlineStr">
        <is>
          <t>출금</t>
        </is>
      </c>
    </row>
    <row r="67">
      <c r="A67" s="29" t="inlineStr">
        <is>
          <t>2025-12-23</t>
        </is>
      </c>
      <c r="B67" s="29" t="inlineStr">
        <is>
          <t>인건비-이은빈</t>
        </is>
      </c>
      <c r="C67" s="30" t="n">
        <v>580000</v>
      </c>
      <c r="D67" s="29" t="inlineStr">
        <is>
          <t>인건비</t>
        </is>
      </c>
      <c r="E67" s="29" t="inlineStr">
        <is>
          <t>상</t>
        </is>
      </c>
      <c r="F67" s="29" t="inlineStr">
        <is>
          <t>카카오뱅크</t>
        </is>
      </c>
      <c r="G67" s="29" t="inlineStr">
        <is>
          <t>출금</t>
        </is>
      </c>
    </row>
    <row r="68">
      <c r="A68" s="29" t="inlineStr">
        <is>
          <t>2025-12-23</t>
        </is>
      </c>
      <c r="B68" s="29" t="inlineStr">
        <is>
          <t>택배비</t>
        </is>
      </c>
      <c r="C68" s="30" t="n">
        <v>14000</v>
      </c>
      <c r="D68" s="29" t="inlineStr">
        <is>
          <t>매출원가</t>
        </is>
      </c>
      <c r="E68" s="29" t="inlineStr">
        <is>
          <t>상</t>
        </is>
      </c>
      <c r="F68" s="29" t="inlineStr">
        <is>
          <t>카카오뱅크</t>
        </is>
      </c>
      <c r="G68" s="29" t="inlineStr">
        <is>
          <t>출금</t>
        </is>
      </c>
    </row>
    <row r="69">
      <c r="A69" s="29" t="inlineStr">
        <is>
          <t>2025-12-23</t>
        </is>
      </c>
      <c r="B69" s="29" t="inlineStr">
        <is>
          <t>교육비</t>
        </is>
      </c>
      <c r="C69" s="30" t="n">
        <v>1160000</v>
      </c>
      <c r="D69" s="29" t="inlineStr">
        <is>
          <t>기타</t>
        </is>
      </c>
      <c r="E69" s="29" t="inlineStr">
        <is>
          <t>중</t>
        </is>
      </c>
      <c r="F69" s="29" t="inlineStr">
        <is>
          <t>카카오뱅크</t>
        </is>
      </c>
      <c r="G69" s="29" t="inlineStr">
        <is>
          <t>출금</t>
        </is>
      </c>
    </row>
    <row r="70">
      <c r="A70" s="29" t="inlineStr">
        <is>
          <t>2025-12-24</t>
        </is>
      </c>
      <c r="B70" s="29" t="inlineStr">
        <is>
          <t>발토시</t>
        </is>
      </c>
      <c r="C70" s="30" t="n">
        <v>1360000</v>
      </c>
      <c r="D70" s="29" t="inlineStr">
        <is>
          <t>매출원가</t>
        </is>
      </c>
      <c r="E70" s="29" t="inlineStr">
        <is>
          <t>상</t>
        </is>
      </c>
      <c r="F70" s="29" t="inlineStr">
        <is>
          <t>카카오뱅크</t>
        </is>
      </c>
      <c r="G70" s="29" t="inlineStr">
        <is>
          <t>출금</t>
        </is>
      </c>
    </row>
    <row r="71">
      <c r="A71" s="29" t="inlineStr">
        <is>
          <t>2025-12-24</t>
        </is>
      </c>
      <c r="B71" s="29" t="inlineStr">
        <is>
          <t>발토시</t>
        </is>
      </c>
      <c r="C71" s="30" t="n">
        <v>672000</v>
      </c>
      <c r="D71" s="29" t="inlineStr">
        <is>
          <t>매출원가</t>
        </is>
      </c>
      <c r="E71" s="29" t="inlineStr">
        <is>
          <t>상</t>
        </is>
      </c>
      <c r="F71" s="29" t="inlineStr">
        <is>
          <t>카카오뱅크</t>
        </is>
      </c>
      <c r="G71" s="29" t="inlineStr">
        <is>
          <t>출금</t>
        </is>
      </c>
    </row>
    <row r="72">
      <c r="A72" s="29" t="inlineStr">
        <is>
          <t>2025-12-24</t>
        </is>
      </c>
      <c r="B72" s="29" t="inlineStr">
        <is>
          <t>발토시</t>
        </is>
      </c>
      <c r="C72" s="30" t="n">
        <v>132000</v>
      </c>
      <c r="D72" s="29" t="inlineStr">
        <is>
          <t>매출원가</t>
        </is>
      </c>
      <c r="E72" s="29" t="inlineStr">
        <is>
          <t>상</t>
        </is>
      </c>
      <c r="F72" s="29" t="inlineStr">
        <is>
          <t>카카오뱅크</t>
        </is>
      </c>
      <c r="G72" s="29" t="inlineStr">
        <is>
          <t>출금</t>
        </is>
      </c>
    </row>
    <row r="73">
      <c r="A73" s="29" t="inlineStr">
        <is>
          <t>2025-12-24</t>
        </is>
      </c>
      <c r="B73" s="29" t="inlineStr">
        <is>
          <t>발토시</t>
        </is>
      </c>
      <c r="C73" s="30" t="n">
        <v>567000</v>
      </c>
      <c r="D73" s="29" t="inlineStr">
        <is>
          <t>매출원가</t>
        </is>
      </c>
      <c r="E73" s="29" t="inlineStr">
        <is>
          <t>상</t>
        </is>
      </c>
      <c r="F73" s="29" t="inlineStr">
        <is>
          <t>카카오뱅크</t>
        </is>
      </c>
      <c r="G73" s="29" t="inlineStr">
        <is>
          <t>출금</t>
        </is>
      </c>
    </row>
    <row r="74">
      <c r="A74" s="29" t="inlineStr">
        <is>
          <t>2025-12-24</t>
        </is>
      </c>
      <c r="B74" s="29" t="inlineStr">
        <is>
          <t>발토시</t>
        </is>
      </c>
      <c r="C74" s="30" t="n">
        <v>655000</v>
      </c>
      <c r="D74" s="29" t="inlineStr">
        <is>
          <t>매출원가</t>
        </is>
      </c>
      <c r="E74" s="29" t="inlineStr">
        <is>
          <t>상</t>
        </is>
      </c>
      <c r="F74" s="29" t="inlineStr">
        <is>
          <t>카카오뱅크</t>
        </is>
      </c>
      <c r="G74" s="29" t="inlineStr">
        <is>
          <t>출금</t>
        </is>
      </c>
    </row>
    <row r="75">
      <c r="A75" s="29" t="inlineStr">
        <is>
          <t>2025-12-24</t>
        </is>
      </c>
      <c r="B75" s="29" t="inlineStr">
        <is>
          <t>발토시</t>
        </is>
      </c>
      <c r="C75" s="30" t="n">
        <v>169000</v>
      </c>
      <c r="D75" s="29" t="inlineStr">
        <is>
          <t>매출원가</t>
        </is>
      </c>
      <c r="E75" s="29" t="inlineStr">
        <is>
          <t>상</t>
        </is>
      </c>
      <c r="F75" s="29" t="inlineStr">
        <is>
          <t>카카오뱅크</t>
        </is>
      </c>
      <c r="G75" s="29" t="inlineStr">
        <is>
          <t>출금</t>
        </is>
      </c>
    </row>
    <row r="76">
      <c r="A76" s="29" t="inlineStr">
        <is>
          <t>2025-12-24</t>
        </is>
      </c>
      <c r="B76" s="29" t="inlineStr">
        <is>
          <t>발토시</t>
        </is>
      </c>
      <c r="C76" s="30" t="n">
        <v>108000</v>
      </c>
      <c r="D76" s="29" t="inlineStr">
        <is>
          <t>매출원가</t>
        </is>
      </c>
      <c r="E76" s="29" t="inlineStr">
        <is>
          <t>상</t>
        </is>
      </c>
      <c r="F76" s="29" t="inlineStr">
        <is>
          <t>카카오뱅크</t>
        </is>
      </c>
      <c r="G76" s="29" t="inlineStr">
        <is>
          <t>출금</t>
        </is>
      </c>
    </row>
    <row r="77">
      <c r="A77" s="29" t="inlineStr">
        <is>
          <t>2025-12-24</t>
        </is>
      </c>
      <c r="B77" s="29" t="inlineStr">
        <is>
          <t>발토시</t>
        </is>
      </c>
      <c r="C77" s="30" t="n">
        <v>600000</v>
      </c>
      <c r="D77" s="29" t="inlineStr">
        <is>
          <t>매출원가</t>
        </is>
      </c>
      <c r="E77" s="29" t="inlineStr">
        <is>
          <t>상</t>
        </is>
      </c>
      <c r="F77" s="29" t="inlineStr">
        <is>
          <t>카카오뱅크</t>
        </is>
      </c>
      <c r="G77" s="29" t="inlineStr">
        <is>
          <t>출금</t>
        </is>
      </c>
    </row>
    <row r="78">
      <c r="A78" s="29" t="inlineStr">
        <is>
          <t>2025-12-26</t>
        </is>
      </c>
      <c r="B78" s="29" t="inlineStr">
        <is>
          <t>하명옥</t>
        </is>
      </c>
      <c r="C78" s="30" t="n">
        <v>1155000</v>
      </c>
      <c r="D78" s="29" t="inlineStr">
        <is>
          <t>매출원가 (물건 사입비)</t>
        </is>
      </c>
      <c r="E78" s="29" t="inlineStr">
        <is>
          <t>상</t>
        </is>
      </c>
      <c r="F78" s="29" t="inlineStr">
        <is>
          <t>카카오뱅크</t>
        </is>
      </c>
      <c r="G78" s="29" t="inlineStr">
        <is>
          <t>출금</t>
        </is>
      </c>
    </row>
    <row r="79">
      <c r="A79" s="29" t="inlineStr">
        <is>
          <t>2025-12-26</t>
        </is>
      </c>
      <c r="B79" s="29" t="inlineStr">
        <is>
          <t>강은송</t>
        </is>
      </c>
      <c r="C79" s="30" t="n">
        <v>5000000</v>
      </c>
      <c r="D79" s="29" t="inlineStr">
        <is>
          <t>제외(자기이체)</t>
        </is>
      </c>
      <c r="E79" s="29" t="inlineStr">
        <is>
          <t>상</t>
        </is>
      </c>
      <c r="F79" s="29" t="inlineStr">
        <is>
          <t>카카오뱅크</t>
        </is>
      </c>
      <c r="G79" s="29" t="inlineStr">
        <is>
          <t>출금</t>
        </is>
      </c>
    </row>
    <row r="80">
      <c r="A80" s="29" t="inlineStr">
        <is>
          <t>2025-12-24</t>
        </is>
      </c>
      <c r="B80" s="29" t="inlineStr">
        <is>
          <t>신혜영</t>
        </is>
      </c>
      <c r="C80" s="30" t="n">
        <v>3500</v>
      </c>
      <c r="D80" s="29" t="inlineStr">
        <is>
          <t>제외(환불)</t>
        </is>
      </c>
      <c r="E80" s="29" t="inlineStr">
        <is>
          <t>상</t>
        </is>
      </c>
      <c r="F80" s="29" t="inlineStr">
        <is>
          <t>카카오뱅크</t>
        </is>
      </c>
      <c r="G80" s="29" t="inlineStr">
        <is>
          <t>출금</t>
        </is>
      </c>
    </row>
    <row r="81">
      <c r="A81" s="29" t="inlineStr">
        <is>
          <t>2025-12-30</t>
        </is>
      </c>
      <c r="B81" s="29" t="inlineStr">
        <is>
          <t>택배비</t>
        </is>
      </c>
      <c r="C81" s="30" t="n">
        <v>356510</v>
      </c>
      <c r="D81" s="29" t="inlineStr">
        <is>
          <t>매출원가</t>
        </is>
      </c>
      <c r="E81" s="29" t="inlineStr">
        <is>
          <t>상</t>
        </is>
      </c>
      <c r="F81" s="29" t="inlineStr">
        <is>
          <t>카카오뱅크</t>
        </is>
      </c>
      <c r="G81" s="29" t="inlineStr">
        <is>
          <t>출금</t>
        </is>
      </c>
    </row>
    <row r="82">
      <c r="A82" s="29" t="inlineStr">
        <is>
          <t>2025-12-31</t>
        </is>
      </c>
      <c r="B82" s="29" t="inlineStr">
        <is>
          <t>대여금</t>
        </is>
      </c>
      <c r="C82" s="30" t="n">
        <v>30000000</v>
      </c>
      <c r="D82" s="29" t="inlineStr">
        <is>
          <t>제외(대여금)</t>
        </is>
      </c>
      <c r="E82" s="29" t="inlineStr">
        <is>
          <t>상</t>
        </is>
      </c>
      <c r="F82" s="29" t="inlineStr">
        <is>
          <t>카카오뱅크</t>
        </is>
      </c>
      <c r="G82" s="29" t="inlineStr">
        <is>
          <t>출금</t>
        </is>
      </c>
    </row>
    <row r="83">
      <c r="A83" s="27" t="inlineStr">
        <is>
          <t>2026-01-01</t>
        </is>
      </c>
      <c r="B83" s="27" t="inlineStr">
        <is>
          <t>스마트스토어정산</t>
        </is>
      </c>
      <c r="C83" s="28" t="n">
        <v>935902</v>
      </c>
      <c r="D83" s="27" t="inlineStr">
        <is>
          <t>매출</t>
        </is>
      </c>
      <c r="E83" s="27" t="inlineStr">
        <is>
          <t>상</t>
        </is>
      </c>
      <c r="F83" s="27" t="inlineStr">
        <is>
          <t>카카오뱅크</t>
        </is>
      </c>
      <c r="G83" s="27" t="inlineStr">
        <is>
          <t>입금</t>
        </is>
      </c>
    </row>
    <row r="84">
      <c r="A84" s="27" t="inlineStr">
        <is>
          <t>2026-01-01</t>
        </is>
      </c>
      <c r="B84" s="27" t="inlineStr">
        <is>
          <t>스마트스토어정산</t>
        </is>
      </c>
      <c r="C84" s="28" t="n">
        <v>2181436</v>
      </c>
      <c r="D84" s="27" t="inlineStr">
        <is>
          <t>매출</t>
        </is>
      </c>
      <c r="E84" s="27" t="inlineStr">
        <is>
          <t>상</t>
        </is>
      </c>
      <c r="F84" s="27" t="inlineStr">
        <is>
          <t>카카오뱅크</t>
        </is>
      </c>
      <c r="G84" s="27" t="inlineStr">
        <is>
          <t>입금</t>
        </is>
      </c>
    </row>
    <row r="85">
      <c r="A85" s="27" t="inlineStr">
        <is>
          <t>2026-01-01</t>
        </is>
      </c>
      <c r="B85" s="27" t="inlineStr">
        <is>
          <t>스마트스토어정산</t>
        </is>
      </c>
      <c r="C85" s="28" t="n">
        <v>524302</v>
      </c>
      <c r="D85" s="27" t="inlineStr">
        <is>
          <t>매출</t>
        </is>
      </c>
      <c r="E85" s="27" t="inlineStr">
        <is>
          <t>상</t>
        </is>
      </c>
      <c r="F85" s="27" t="inlineStr">
        <is>
          <t>카카오뱅크</t>
        </is>
      </c>
      <c r="G85" s="27" t="inlineStr">
        <is>
          <t>입금</t>
        </is>
      </c>
    </row>
    <row r="86">
      <c r="A86" s="27" t="inlineStr">
        <is>
          <t>2026-01-01</t>
        </is>
      </c>
      <c r="B86" s="27" t="inlineStr">
        <is>
          <t>스마트스토어정산</t>
        </is>
      </c>
      <c r="C86" s="28" t="n">
        <v>483343</v>
      </c>
      <c r="D86" s="27" t="inlineStr">
        <is>
          <t>매출</t>
        </is>
      </c>
      <c r="E86" s="27" t="inlineStr">
        <is>
          <t>상</t>
        </is>
      </c>
      <c r="F86" s="27" t="inlineStr">
        <is>
          <t>카카오뱅크</t>
        </is>
      </c>
      <c r="G86" s="27" t="inlineStr">
        <is>
          <t>입금</t>
        </is>
      </c>
    </row>
    <row r="87">
      <c r="A87" s="27" t="inlineStr">
        <is>
          <t>2026-01-01</t>
        </is>
      </c>
      <c r="B87" s="27" t="inlineStr">
        <is>
          <t>스마트스토어정산</t>
        </is>
      </c>
      <c r="C87" s="28" t="n">
        <v>1837916</v>
      </c>
      <c r="D87" s="27" t="inlineStr">
        <is>
          <t>매출</t>
        </is>
      </c>
      <c r="E87" s="27" t="inlineStr">
        <is>
          <t>상</t>
        </is>
      </c>
      <c r="F87" s="27" t="inlineStr">
        <is>
          <t>카카오뱅크</t>
        </is>
      </c>
      <c r="G87" s="27" t="inlineStr">
        <is>
          <t>입금</t>
        </is>
      </c>
    </row>
    <row r="88">
      <c r="A88" s="27" t="inlineStr">
        <is>
          <t>2026-01-01</t>
        </is>
      </c>
      <c r="B88" s="27" t="inlineStr">
        <is>
          <t>스마트스토어정산</t>
        </is>
      </c>
      <c r="C88" s="28" t="n">
        <v>336871</v>
      </c>
      <c r="D88" s="27" t="inlineStr">
        <is>
          <t>매출</t>
        </is>
      </c>
      <c r="E88" s="27" t="inlineStr">
        <is>
          <t>상</t>
        </is>
      </c>
      <c r="F88" s="27" t="inlineStr">
        <is>
          <t>카카오뱅크</t>
        </is>
      </c>
      <c r="G88" s="27" t="inlineStr">
        <is>
          <t>입금</t>
        </is>
      </c>
    </row>
    <row r="89">
      <c r="A89" s="27" t="inlineStr">
        <is>
          <t>2026-01-01</t>
        </is>
      </c>
      <c r="B89" s="27" t="inlineStr">
        <is>
          <t>스마트스토어정산</t>
        </is>
      </c>
      <c r="C89" s="28" t="n">
        <v>2176666</v>
      </c>
      <c r="D89" s="27" t="inlineStr">
        <is>
          <t>매출</t>
        </is>
      </c>
      <c r="E89" s="27" t="inlineStr">
        <is>
          <t>상</t>
        </is>
      </c>
      <c r="F89" s="27" t="inlineStr">
        <is>
          <t>카카오뱅크</t>
        </is>
      </c>
      <c r="G89" s="27" t="inlineStr">
        <is>
          <t>입금</t>
        </is>
      </c>
    </row>
    <row r="90">
      <c r="A90" s="27" t="inlineStr">
        <is>
          <t>2026-01-01</t>
        </is>
      </c>
      <c r="B90" s="27" t="inlineStr">
        <is>
          <t>스마트스토어정산</t>
        </is>
      </c>
      <c r="C90" s="28" t="n">
        <v>25750</v>
      </c>
      <c r="D90" s="27" t="inlineStr">
        <is>
          <t>매출</t>
        </is>
      </c>
      <c r="E90" s="27" t="inlineStr">
        <is>
          <t>상</t>
        </is>
      </c>
      <c r="F90" s="27" t="inlineStr">
        <is>
          <t>카카오뱅크</t>
        </is>
      </c>
      <c r="G90" s="27" t="inlineStr">
        <is>
          <t>입금</t>
        </is>
      </c>
    </row>
    <row r="91">
      <c r="A91" s="27" t="inlineStr">
        <is>
          <t>2026-01-01</t>
        </is>
      </c>
      <c r="B91" s="27" t="inlineStr">
        <is>
          <t>스마트스토어정산</t>
        </is>
      </c>
      <c r="C91" s="28" t="n">
        <v>28692</v>
      </c>
      <c r="D91" s="27" t="inlineStr">
        <is>
          <t>매출</t>
        </is>
      </c>
      <c r="E91" s="27" t="inlineStr">
        <is>
          <t>상</t>
        </is>
      </c>
      <c r="F91" s="27" t="inlineStr">
        <is>
          <t>카카오뱅크</t>
        </is>
      </c>
      <c r="G91" s="27" t="inlineStr">
        <is>
          <t>입금</t>
        </is>
      </c>
    </row>
    <row r="92">
      <c r="A92" s="27" t="inlineStr">
        <is>
          <t>2026-01-01</t>
        </is>
      </c>
      <c r="B92" s="27" t="inlineStr">
        <is>
          <t>스마트스토어정산</t>
        </is>
      </c>
      <c r="C92" s="28" t="n">
        <v>100058</v>
      </c>
      <c r="D92" s="27" t="inlineStr">
        <is>
          <t>매출</t>
        </is>
      </c>
      <c r="E92" s="27" t="inlineStr">
        <is>
          <t>상</t>
        </is>
      </c>
      <c r="F92" s="27" t="inlineStr">
        <is>
          <t>카카오뱅크</t>
        </is>
      </c>
      <c r="G92" s="27" t="inlineStr">
        <is>
          <t>입금</t>
        </is>
      </c>
    </row>
    <row r="93">
      <c r="A93" s="27" t="inlineStr">
        <is>
          <t>2026-01-01</t>
        </is>
      </c>
      <c r="B93" s="27" t="inlineStr">
        <is>
          <t>스마트스토어정산</t>
        </is>
      </c>
      <c r="C93" s="28" t="n">
        <v>25653</v>
      </c>
      <c r="D93" s="27" t="inlineStr">
        <is>
          <t>매출</t>
        </is>
      </c>
      <c r="E93" s="27" t="inlineStr">
        <is>
          <t>상</t>
        </is>
      </c>
      <c r="F93" s="27" t="inlineStr">
        <is>
          <t>카카오뱅크</t>
        </is>
      </c>
      <c r="G93" s="27" t="inlineStr">
        <is>
          <t>입금</t>
        </is>
      </c>
    </row>
    <row r="94">
      <c r="A94" s="27" t="inlineStr">
        <is>
          <t>2026-01-01</t>
        </is>
      </c>
      <c r="B94" s="27" t="inlineStr">
        <is>
          <t>스마트스토어정산</t>
        </is>
      </c>
      <c r="C94" s="28" t="n">
        <v>22256</v>
      </c>
      <c r="D94" s="27" t="inlineStr">
        <is>
          <t>매출</t>
        </is>
      </c>
      <c r="E94" s="27" t="inlineStr">
        <is>
          <t>상</t>
        </is>
      </c>
      <c r="F94" s="27" t="inlineStr">
        <is>
          <t>카카오뱅크</t>
        </is>
      </c>
      <c r="G94" s="27" t="inlineStr">
        <is>
          <t>입금</t>
        </is>
      </c>
    </row>
    <row r="95">
      <c r="A95" s="27" t="inlineStr">
        <is>
          <t>2026-01-01</t>
        </is>
      </c>
      <c r="B95" s="27" t="inlineStr">
        <is>
          <t>스마트스토어정산</t>
        </is>
      </c>
      <c r="C95" s="28" t="n">
        <v>89933</v>
      </c>
      <c r="D95" s="27" t="inlineStr">
        <is>
          <t>매출</t>
        </is>
      </c>
      <c r="E95" s="27" t="inlineStr">
        <is>
          <t>상</t>
        </is>
      </c>
      <c r="F95" s="27" t="inlineStr">
        <is>
          <t>카카오뱅크</t>
        </is>
      </c>
      <c r="G95" s="27" t="inlineStr">
        <is>
          <t>입금</t>
        </is>
      </c>
    </row>
    <row r="96">
      <c r="A96" s="27" t="inlineStr">
        <is>
          <t>2026-01-01</t>
        </is>
      </c>
      <c r="B96" s="27" t="inlineStr">
        <is>
          <t>스마트스토어정산</t>
        </is>
      </c>
      <c r="C96" s="28" t="n">
        <v>25185</v>
      </c>
      <c r="D96" s="27" t="inlineStr">
        <is>
          <t>매출</t>
        </is>
      </c>
      <c r="E96" s="27" t="inlineStr">
        <is>
          <t>상</t>
        </is>
      </c>
      <c r="F96" s="27" t="inlineStr">
        <is>
          <t>카카오뱅크</t>
        </is>
      </c>
      <c r="G96" s="27" t="inlineStr">
        <is>
          <t>입금</t>
        </is>
      </c>
    </row>
    <row r="97">
      <c r="A97" s="27" t="inlineStr">
        <is>
          <t>2026-01-01</t>
        </is>
      </c>
      <c r="B97" s="27" t="inlineStr">
        <is>
          <t>이지혜</t>
        </is>
      </c>
      <c r="C97" s="28" t="n">
        <v>74000</v>
      </c>
      <c r="D97" s="27" t="inlineStr">
        <is>
          <t>매출</t>
        </is>
      </c>
      <c r="E97" s="27" t="inlineStr">
        <is>
          <t>상</t>
        </is>
      </c>
      <c r="F97" s="27" t="inlineStr">
        <is>
          <t>카카오뱅크</t>
        </is>
      </c>
      <c r="G97" s="27" t="inlineStr">
        <is>
          <t>입금</t>
        </is>
      </c>
    </row>
    <row r="98">
      <c r="A98" s="27" t="inlineStr">
        <is>
          <t>2026-01-01</t>
        </is>
      </c>
      <c r="B98" s="27" t="inlineStr">
        <is>
          <t>김은주</t>
        </is>
      </c>
      <c r="C98" s="28" t="n">
        <v>66900</v>
      </c>
      <c r="D98" s="27" t="inlineStr">
        <is>
          <t>매출</t>
        </is>
      </c>
      <c r="E98" s="27" t="inlineStr">
        <is>
          <t>상</t>
        </is>
      </c>
      <c r="F98" s="27" t="inlineStr">
        <is>
          <t>카카오뱅크</t>
        </is>
      </c>
      <c r="G98" s="27" t="inlineStr">
        <is>
          <t>입금</t>
        </is>
      </c>
    </row>
    <row r="99">
      <c r="A99" s="27" t="inlineStr">
        <is>
          <t>2026-01-01</t>
        </is>
      </c>
      <c r="B99" s="27" t="inlineStr">
        <is>
          <t>김혜미</t>
        </is>
      </c>
      <c r="C99" s="28" t="n">
        <v>22900</v>
      </c>
      <c r="D99" s="27" t="inlineStr">
        <is>
          <t>매출</t>
        </is>
      </c>
      <c r="E99" s="27" t="inlineStr">
        <is>
          <t>상</t>
        </is>
      </c>
      <c r="F99" s="27" t="inlineStr">
        <is>
          <t>카카오뱅크</t>
        </is>
      </c>
      <c r="G99" s="27" t="inlineStr">
        <is>
          <t>입금</t>
        </is>
      </c>
    </row>
    <row r="100">
      <c r="A100" s="27" t="inlineStr">
        <is>
          <t>2026-01-01</t>
        </is>
      </c>
      <c r="B100" s="27" t="inlineStr">
        <is>
          <t>강은송</t>
        </is>
      </c>
      <c r="C100" s="28" t="n">
        <v>29867945</v>
      </c>
      <c r="D100" s="27" t="inlineStr">
        <is>
          <t>제외(자기이체)</t>
        </is>
      </c>
      <c r="E100" s="27" t="inlineStr">
        <is>
          <t>상</t>
        </is>
      </c>
      <c r="F100" s="27" t="inlineStr">
        <is>
          <t>카카오뱅크</t>
        </is>
      </c>
      <c r="G100" s="27" t="inlineStr">
        <is>
          <t>입금</t>
        </is>
      </c>
    </row>
    <row r="101">
      <c r="A101" s="27" t="inlineStr">
        <is>
          <t>2026-01-01</t>
        </is>
      </c>
      <c r="B101" s="27" t="inlineStr">
        <is>
          <t>예금이자</t>
        </is>
      </c>
      <c r="C101" s="28" t="n">
        <v>556</v>
      </c>
      <c r="D101" s="27" t="inlineStr">
        <is>
          <t>제외(이자)</t>
        </is>
      </c>
      <c r="E101" s="27" t="inlineStr">
        <is>
          <t>상</t>
        </is>
      </c>
      <c r="F101" s="27" t="inlineStr">
        <is>
          <t>카카오뱅크</t>
        </is>
      </c>
      <c r="G101" s="27" t="inlineStr">
        <is>
          <t>입금</t>
        </is>
      </c>
    </row>
    <row r="102">
      <c r="A102" s="29" t="inlineStr">
        <is>
          <t>2026-01-01</t>
        </is>
      </c>
      <c r="B102" s="29" t="inlineStr">
        <is>
          <t>안희은세무사</t>
        </is>
      </c>
      <c r="C102" s="30" t="n">
        <v>110000</v>
      </c>
      <c r="D102" s="29" t="inlineStr">
        <is>
          <t>운영비</t>
        </is>
      </c>
      <c r="E102" s="29" t="inlineStr">
        <is>
          <t>상</t>
        </is>
      </c>
      <c r="F102" s="29" t="inlineStr">
        <is>
          <t>카카오뱅크</t>
        </is>
      </c>
      <c r="G102" s="29" t="inlineStr">
        <is>
          <t>출금</t>
        </is>
      </c>
    </row>
    <row r="103">
      <c r="A103" s="29" t="inlineStr">
        <is>
          <t>2026-01-02</t>
        </is>
      </c>
      <c r="B103" s="29" t="inlineStr">
        <is>
          <t>환불</t>
        </is>
      </c>
      <c r="C103" s="30" t="n">
        <v>26400</v>
      </c>
      <c r="D103" s="29" t="inlineStr">
        <is>
          <t>매출원가차감(환불)</t>
        </is>
      </c>
      <c r="E103" s="29" t="inlineStr">
        <is>
          <t>상</t>
        </is>
      </c>
      <c r="F103" s="29" t="inlineStr">
        <is>
          <t>카카오뱅크</t>
        </is>
      </c>
      <c r="G103" s="29" t="inlineStr">
        <is>
          <t>출금</t>
        </is>
      </c>
    </row>
    <row r="104">
      <c r="A104" s="29" t="inlineStr">
        <is>
          <t>2026-01-04</t>
        </is>
      </c>
      <c r="B104" s="29" t="inlineStr">
        <is>
          <t>택배비</t>
        </is>
      </c>
      <c r="C104" s="30" t="n">
        <v>322390</v>
      </c>
      <c r="D104" s="29" t="inlineStr">
        <is>
          <t>매출원가</t>
        </is>
      </c>
      <c r="E104" s="29" t="inlineStr">
        <is>
          <t>상</t>
        </is>
      </c>
      <c r="F104" s="29" t="inlineStr">
        <is>
          <t>카카오뱅크</t>
        </is>
      </c>
      <c r="G104" s="29" t="inlineStr">
        <is>
          <t>출금</t>
        </is>
      </c>
    </row>
    <row r="105">
      <c r="A105" s="29" t="inlineStr">
        <is>
          <t>2026-01-11</t>
        </is>
      </c>
      <c r="B105" s="29" t="inlineStr">
        <is>
          <t>송명희</t>
        </is>
      </c>
      <c r="C105" s="30" t="n">
        <v>23400</v>
      </c>
      <c r="D105" s="29" t="inlineStr">
        <is>
          <t>기타(신뢰도하)</t>
        </is>
      </c>
      <c r="E105" s="29" t="inlineStr">
        <is>
          <t>하</t>
        </is>
      </c>
      <c r="F105" s="29" t="inlineStr">
        <is>
          <t>카카오뱅크</t>
        </is>
      </c>
      <c r="G105" s="29" t="inlineStr">
        <is>
          <t>출금</t>
        </is>
      </c>
    </row>
    <row r="106">
      <c r="A106" s="29" t="inlineStr">
        <is>
          <t>2026-01-13</t>
        </is>
      </c>
      <c r="B106" s="29" t="inlineStr">
        <is>
          <t>(주)일송개발</t>
        </is>
      </c>
      <c r="C106" s="30" t="n">
        <v>24000000</v>
      </c>
      <c r="D106" s="29" t="inlineStr">
        <is>
          <t>임대료</t>
        </is>
      </c>
      <c r="E106" s="29" t="inlineStr">
        <is>
          <t>상</t>
        </is>
      </c>
      <c r="F106" s="29" t="inlineStr">
        <is>
          <t>카카오뱅크</t>
        </is>
      </c>
      <c r="G106" s="29" t="inlineStr">
        <is>
          <t>출금</t>
        </is>
      </c>
      <c r="H106" t="inlineStr">
        <is>
          <t>1년치 임대료 선납, 월환산 2,000,000원</t>
        </is>
      </c>
    </row>
    <row r="107">
      <c r="A107" s="29" t="inlineStr">
        <is>
          <t>2026-01-14</t>
        </is>
      </c>
      <c r="B107" s="29" t="inlineStr">
        <is>
          <t>김민지</t>
        </is>
      </c>
      <c r="C107" s="30" t="n">
        <v>122810</v>
      </c>
      <c r="D107" s="29" t="inlineStr">
        <is>
          <t>매출원가 (택배비)</t>
        </is>
      </c>
      <c r="E107" s="29" t="inlineStr">
        <is>
          <t>상</t>
        </is>
      </c>
      <c r="F107" s="29" t="inlineStr">
        <is>
          <t>카카오뱅크</t>
        </is>
      </c>
      <c r="G107" s="29" t="inlineStr">
        <is>
          <t>출금</t>
        </is>
      </c>
    </row>
    <row r="108">
      <c r="A108" s="29" t="inlineStr">
        <is>
          <t>2026-01-19</t>
        </is>
      </c>
      <c r="B108" s="29" t="inlineStr">
        <is>
          <t>카드값</t>
        </is>
      </c>
      <c r="C108" s="30" t="n">
        <v>13300000</v>
      </c>
      <c r="D108" s="29" t="inlineStr">
        <is>
          <t>제외(카드결제)</t>
        </is>
      </c>
      <c r="E108" s="29" t="inlineStr">
        <is>
          <t>상</t>
        </is>
      </c>
      <c r="F108" s="29" t="inlineStr">
        <is>
          <t>카카오뱅크</t>
        </is>
      </c>
      <c r="G108" s="29" t="inlineStr">
        <is>
          <t>출금</t>
        </is>
      </c>
    </row>
    <row r="109">
      <c r="A109" s="29" t="inlineStr">
        <is>
          <t>2026-01-21</t>
        </is>
      </c>
      <c r="B109" s="29" t="inlineStr">
        <is>
          <t>택배-대여금</t>
        </is>
      </c>
      <c r="C109" s="30" t="n">
        <v>1000000</v>
      </c>
      <c r="D109" s="29" t="inlineStr">
        <is>
          <t>상계처리 (대여 반환)</t>
        </is>
      </c>
      <c r="E109" s="29" t="inlineStr">
        <is>
          <t>상</t>
        </is>
      </c>
      <c r="F109" s="29" t="inlineStr">
        <is>
          <t>카카오뱅크</t>
        </is>
      </c>
      <c r="G109" s="29" t="inlineStr">
        <is>
          <t>출금</t>
        </is>
      </c>
    </row>
    <row r="110">
      <c r="A110" s="29" t="inlineStr">
        <is>
          <t>2026-01-23</t>
        </is>
      </c>
      <c r="B110" s="29" t="inlineStr">
        <is>
          <t>강은송</t>
        </is>
      </c>
      <c r="C110" s="30" t="n">
        <v>1456803</v>
      </c>
      <c r="D110" s="29" t="inlineStr">
        <is>
          <t>제외(자기이체)</t>
        </is>
      </c>
      <c r="E110" s="29" t="inlineStr">
        <is>
          <t>상</t>
        </is>
      </c>
      <c r="F110" s="29" t="inlineStr">
        <is>
          <t>카카오뱅크</t>
        </is>
      </c>
      <c r="G110" s="29" t="inlineStr">
        <is>
          <t>출금</t>
        </is>
      </c>
    </row>
    <row r="111">
      <c r="A111" s="29" t="inlineStr">
        <is>
          <t>2026-01-23</t>
        </is>
      </c>
      <c r="B111" s="29" t="inlineStr">
        <is>
          <t>등록면허세</t>
        </is>
      </c>
      <c r="C111" s="30" t="n">
        <v>40500</v>
      </c>
      <c r="D111" s="29" t="inlineStr">
        <is>
          <t>기타(세금)</t>
        </is>
      </c>
      <c r="E111" s="29" t="inlineStr">
        <is>
          <t>상</t>
        </is>
      </c>
      <c r="F111" s="29" t="inlineStr">
        <is>
          <t>카카오뱅크</t>
        </is>
      </c>
      <c r="G111" s="29" t="inlineStr">
        <is>
          <t>출금</t>
        </is>
      </c>
    </row>
    <row r="112">
      <c r="A112" s="27" t="inlineStr">
        <is>
          <t>2026-02-01</t>
        </is>
      </c>
      <c r="B112" s="27" t="inlineStr">
        <is>
          <t>(주)에이비티제</t>
        </is>
      </c>
      <c r="C112" s="28" t="n">
        <v>9042040</v>
      </c>
      <c r="D112" s="27" t="inlineStr">
        <is>
          <t>매출</t>
        </is>
      </c>
      <c r="E112" s="27" t="inlineStr">
        <is>
          <t>상</t>
        </is>
      </c>
      <c r="F112" s="27" t="inlineStr">
        <is>
          <t>카카오뱅크</t>
        </is>
      </c>
      <c r="G112" s="27" t="inlineStr">
        <is>
          <t>입금</t>
        </is>
      </c>
    </row>
    <row r="113">
      <c r="A113" s="27" t="inlineStr">
        <is>
          <t>2026-02-01</t>
        </is>
      </c>
      <c r="B113" s="27" t="inlineStr">
        <is>
          <t>퍼프마켓 수수료</t>
        </is>
      </c>
      <c r="C113" s="28" t="n">
        <v>11203637</v>
      </c>
      <c r="D113" s="27" t="inlineStr">
        <is>
          <t>매출</t>
        </is>
      </c>
      <c r="E113" s="27" t="inlineStr">
        <is>
          <t>상</t>
        </is>
      </c>
      <c r="F113" s="27" t="inlineStr">
        <is>
          <t>카카오뱅크</t>
        </is>
      </c>
      <c r="G113" s="27" t="inlineStr">
        <is>
          <t>입금</t>
        </is>
      </c>
    </row>
    <row r="114">
      <c r="A114" s="27" t="inlineStr">
        <is>
          <t>2026-02-01</t>
        </is>
      </c>
      <c r="B114" s="27" t="inlineStr">
        <is>
          <t>국세환급금(동울산세무서)</t>
        </is>
      </c>
      <c r="C114" s="28" t="n">
        <v>1361000</v>
      </c>
      <c r="D114" s="27" t="inlineStr">
        <is>
          <t>제외(세금환급)</t>
        </is>
      </c>
      <c r="E114" s="27" t="inlineStr">
        <is>
          <t>상</t>
        </is>
      </c>
      <c r="F114" s="27" t="inlineStr">
        <is>
          <t>카카오뱅크</t>
        </is>
      </c>
      <c r="G114" s="27" t="inlineStr">
        <is>
          <t>입금</t>
        </is>
      </c>
    </row>
    <row r="115">
      <c r="A115" s="27" t="inlineStr">
        <is>
          <t>2026-02-01</t>
        </is>
      </c>
      <c r="B115" s="27" t="inlineStr">
        <is>
          <t>예금이자</t>
        </is>
      </c>
      <c r="C115" s="28" t="n">
        <v>703</v>
      </c>
      <c r="D115" s="27" t="inlineStr">
        <is>
          <t>제외(이자)</t>
        </is>
      </c>
      <c r="E115" s="27" t="inlineStr">
        <is>
          <t>상</t>
        </is>
      </c>
      <c r="F115" s="27" t="inlineStr">
        <is>
          <t>카카오뱅크</t>
        </is>
      </c>
      <c r="G115" s="27" t="inlineStr">
        <is>
          <t>입금</t>
        </is>
      </c>
    </row>
    <row r="116">
      <c r="A116" s="29" t="inlineStr">
        <is>
          <t>2026-02-01</t>
        </is>
      </c>
      <c r="B116" s="29" t="inlineStr">
        <is>
          <t>안희은세무사</t>
        </is>
      </c>
      <c r="C116" s="30" t="n">
        <v>110000</v>
      </c>
      <c r="D116" s="29" t="inlineStr">
        <is>
          <t>운영비</t>
        </is>
      </c>
      <c r="E116" s="29" t="inlineStr">
        <is>
          <t>상</t>
        </is>
      </c>
      <c r="F116" s="29" t="inlineStr">
        <is>
          <t>카카오뱅크</t>
        </is>
      </c>
      <c r="G116" s="29" t="inlineStr">
        <is>
          <t>출금</t>
        </is>
      </c>
    </row>
    <row r="117">
      <c r="A117" s="29" t="inlineStr">
        <is>
          <t>2026-02-06</t>
        </is>
      </c>
      <c r="B117" s="29" t="inlineStr">
        <is>
          <t>택배비</t>
        </is>
      </c>
      <c r="C117" s="30" t="n">
        <v>172530</v>
      </c>
      <c r="D117" s="29" t="inlineStr">
        <is>
          <t>매출원가</t>
        </is>
      </c>
      <c r="E117" s="29" t="inlineStr">
        <is>
          <t>상</t>
        </is>
      </c>
      <c r="F117" s="29" t="inlineStr">
        <is>
          <t>카카오뱅크</t>
        </is>
      </c>
      <c r="G117" s="29" t="inlineStr">
        <is>
          <t>출금</t>
        </is>
      </c>
    </row>
    <row r="118">
      <c r="A118" s="29" t="inlineStr">
        <is>
          <t>2026-02-10</t>
        </is>
      </c>
      <c r="B118" s="29" t="inlineStr">
        <is>
          <t>윤수연</t>
        </is>
      </c>
      <c r="C118" s="30" t="n">
        <v>440000</v>
      </c>
      <c r="D118" s="29" t="inlineStr">
        <is>
          <t>매출원가 (물건 사입비)</t>
        </is>
      </c>
      <c r="E118" s="29" t="inlineStr">
        <is>
          <t>상</t>
        </is>
      </c>
      <c r="F118" s="29" t="inlineStr">
        <is>
          <t>카카오뱅크</t>
        </is>
      </c>
      <c r="G118" s="29" t="inlineStr">
        <is>
          <t>출금</t>
        </is>
      </c>
    </row>
    <row r="119">
      <c r="A119" s="27" t="inlineStr">
        <is>
          <t>2026-03-01</t>
        </is>
      </c>
      <c r="B119" s="27" t="inlineStr">
        <is>
          <t>(주)에코마인</t>
        </is>
      </c>
      <c r="C119" s="28" t="n">
        <v>3036580</v>
      </c>
      <c r="D119" s="27" t="inlineStr">
        <is>
          <t>매출</t>
        </is>
      </c>
      <c r="E119" s="27" t="inlineStr">
        <is>
          <t>상</t>
        </is>
      </c>
      <c r="F119" s="27" t="inlineStr">
        <is>
          <t>카카오뱅크</t>
        </is>
      </c>
      <c r="G119" s="27" t="inlineStr">
        <is>
          <t>입금</t>
        </is>
      </c>
    </row>
    <row r="120">
      <c r="A120" s="27" t="inlineStr">
        <is>
          <t>2026-03-01</t>
        </is>
      </c>
      <c r="B120" s="27" t="inlineStr">
        <is>
          <t>강은송</t>
        </is>
      </c>
      <c r="C120" s="28" t="n">
        <v>3000000</v>
      </c>
      <c r="D120" s="27" t="inlineStr">
        <is>
          <t>제외(자기이체)</t>
        </is>
      </c>
      <c r="E120" s="27" t="inlineStr">
        <is>
          <t>상</t>
        </is>
      </c>
      <c r="F120" s="27" t="inlineStr">
        <is>
          <t>카카오뱅크</t>
        </is>
      </c>
      <c r="G120" s="27" t="inlineStr">
        <is>
          <t>입금</t>
        </is>
      </c>
    </row>
    <row r="121">
      <c r="A121" s="27" t="inlineStr">
        <is>
          <t>2026-03-01</t>
        </is>
      </c>
      <c r="B121" s="27" t="inlineStr">
        <is>
          <t>김정배</t>
        </is>
      </c>
      <c r="C121" s="28" t="n">
        <v>1000000</v>
      </c>
      <c r="D121" s="27" t="inlineStr">
        <is>
          <t>상계처리 (대여 반환)</t>
        </is>
      </c>
      <c r="E121" s="27" t="inlineStr">
        <is>
          <t>상</t>
        </is>
      </c>
      <c r="F121" s="27" t="inlineStr">
        <is>
          <t>카카오뱅크</t>
        </is>
      </c>
      <c r="G121" s="27" t="inlineStr">
        <is>
          <t>입금</t>
        </is>
      </c>
    </row>
    <row r="122">
      <c r="A122" s="27" t="inlineStr">
        <is>
          <t>2026-03-01</t>
        </is>
      </c>
      <c r="B122" s="27" t="inlineStr">
        <is>
          <t>예금이자</t>
        </is>
      </c>
      <c r="C122" s="28" t="n">
        <v>1596</v>
      </c>
      <c r="D122" s="27" t="inlineStr">
        <is>
          <t>제외(이자)</t>
        </is>
      </c>
      <c r="E122" s="27" t="inlineStr">
        <is>
          <t>상</t>
        </is>
      </c>
      <c r="F122" s="27" t="inlineStr">
        <is>
          <t>카카오뱅크</t>
        </is>
      </c>
      <c r="G122" s="27" t="inlineStr">
        <is>
          <t>입금</t>
        </is>
      </c>
    </row>
    <row r="123">
      <c r="A123" s="29" t="inlineStr">
        <is>
          <t>2026-03-01</t>
        </is>
      </c>
      <c r="B123" s="29" t="inlineStr">
        <is>
          <t>안희은세무사</t>
        </is>
      </c>
      <c r="C123" s="30" t="n">
        <v>110000</v>
      </c>
      <c r="D123" s="29" t="inlineStr">
        <is>
          <t>운영비</t>
        </is>
      </c>
      <c r="E123" s="29" t="inlineStr">
        <is>
          <t>상</t>
        </is>
      </c>
      <c r="F123" s="29" t="inlineStr">
        <is>
          <t>카카오뱅크</t>
        </is>
      </c>
      <c r="G123" s="29" t="inlineStr">
        <is>
          <t>출금</t>
        </is>
      </c>
    </row>
    <row r="124">
      <c r="A124" s="29" t="inlineStr">
        <is>
          <t>2026-03-07</t>
        </is>
      </c>
      <c r="B124" s="29" t="inlineStr">
        <is>
          <t>김민지</t>
        </is>
      </c>
      <c r="C124" s="30" t="n">
        <v>50860</v>
      </c>
      <c r="D124" s="29" t="inlineStr">
        <is>
          <t>매출원가 (택배비)</t>
        </is>
      </c>
      <c r="E124" s="29" t="inlineStr">
        <is>
          <t>상</t>
        </is>
      </c>
      <c r="F124" s="29" t="inlineStr">
        <is>
          <t>카카오뱅크</t>
        </is>
      </c>
      <c r="G124" s="29" t="inlineStr">
        <is>
          <t>출금</t>
        </is>
      </c>
    </row>
    <row r="125">
      <c r="A125" s="29" t="inlineStr">
        <is>
          <t>2026-03-19</t>
        </is>
      </c>
      <c r="B125" s="29" t="inlineStr">
        <is>
          <t>도자기컵</t>
        </is>
      </c>
      <c r="C125" s="30" t="n">
        <v>2100000</v>
      </c>
      <c r="D125" s="29" t="inlineStr">
        <is>
          <t>매출원가</t>
        </is>
      </c>
      <c r="E125" s="29" t="inlineStr">
        <is>
          <t>상</t>
        </is>
      </c>
      <c r="F125" s="29" t="inlineStr">
        <is>
          <t>카카오뱅크</t>
        </is>
      </c>
      <c r="G125" s="29" t="inlineStr">
        <is>
          <t>출금</t>
        </is>
      </c>
    </row>
    <row r="126">
      <c r="A126" s="29" t="inlineStr">
        <is>
          <t>2026-03-23</t>
        </is>
      </c>
      <c r="B126" s="29" t="inlineStr">
        <is>
          <t>틴케이스</t>
        </is>
      </c>
      <c r="C126" s="30" t="n">
        <v>1086800</v>
      </c>
      <c r="D126" s="29" t="inlineStr">
        <is>
          <t>매출원가</t>
        </is>
      </c>
      <c r="E126" s="29" t="inlineStr">
        <is>
          <t>상</t>
        </is>
      </c>
      <c r="F126" s="29" t="inlineStr">
        <is>
          <t>카카오뱅크</t>
        </is>
      </c>
      <c r="G126" s="29" t="inlineStr">
        <is>
          <t>출금</t>
        </is>
      </c>
    </row>
    <row r="127">
      <c r="A127" s="29" t="inlineStr">
        <is>
          <t>2026-03-25</t>
        </is>
      </c>
      <c r="B127" s="29" t="inlineStr">
        <is>
          <t>강은송</t>
        </is>
      </c>
      <c r="C127" s="30" t="n">
        <v>1000000</v>
      </c>
      <c r="D127" s="29" t="inlineStr">
        <is>
          <t>제외(자기이체)</t>
        </is>
      </c>
      <c r="E127" s="29" t="inlineStr">
        <is>
          <t>상</t>
        </is>
      </c>
      <c r="F127" s="29" t="inlineStr">
        <is>
          <t>카카오뱅크</t>
        </is>
      </c>
      <c r="G127" s="29" t="inlineStr">
        <is>
          <t>출금</t>
        </is>
      </c>
    </row>
    <row r="128">
      <c r="A128" s="29" t="inlineStr">
        <is>
          <t>2026-03-25</t>
        </is>
      </c>
      <c r="B128" s="29" t="inlineStr">
        <is>
          <t>강은송</t>
        </is>
      </c>
      <c r="C128" s="30" t="n">
        <v>1000000</v>
      </c>
      <c r="D128" s="29" t="inlineStr">
        <is>
          <t>제외(자기이체)</t>
        </is>
      </c>
      <c r="E128" s="29" t="inlineStr">
        <is>
          <t>상</t>
        </is>
      </c>
      <c r="F128" s="29" t="inlineStr">
        <is>
          <t>카카오뱅크</t>
        </is>
      </c>
      <c r="G128" s="29" t="inlineStr">
        <is>
          <t>출금</t>
        </is>
      </c>
    </row>
    <row r="129">
      <c r="A129" s="29" t="inlineStr">
        <is>
          <t>2026-03-25</t>
        </is>
      </c>
      <c r="B129" s="29" t="inlineStr">
        <is>
          <t>강은송</t>
        </is>
      </c>
      <c r="C129" s="30" t="n">
        <v>5000000</v>
      </c>
      <c r="D129" s="29" t="inlineStr">
        <is>
          <t>제외(자기이체)</t>
        </is>
      </c>
      <c r="E129" s="29" t="inlineStr">
        <is>
          <t>상</t>
        </is>
      </c>
      <c r="F129" s="29" t="inlineStr">
        <is>
          <t>카카오뱅크</t>
        </is>
      </c>
      <c r="G129" s="29" t="inlineStr">
        <is>
          <t>출금</t>
        </is>
      </c>
    </row>
    <row r="130">
      <c r="A130" s="29" t="inlineStr">
        <is>
          <t>2026-03-30</t>
        </is>
      </c>
      <c r="B130" s="29" t="inlineStr">
        <is>
          <t>디자인비</t>
        </is>
      </c>
      <c r="C130" s="30" t="n">
        <v>1760000</v>
      </c>
      <c r="D130" s="29" t="inlineStr">
        <is>
          <t>운영비</t>
        </is>
      </c>
      <c r="E130" s="29" t="inlineStr">
        <is>
          <t>상</t>
        </is>
      </c>
      <c r="F130" s="29" t="inlineStr">
        <is>
          <t>카카오뱅크</t>
        </is>
      </c>
      <c r="G130" s="29" t="inlineStr">
        <is>
          <t>출금</t>
        </is>
      </c>
    </row>
    <row r="131">
      <c r="A131" s="27" t="inlineStr">
        <is>
          <t>2026-04-01</t>
        </is>
      </c>
      <c r="B131" s="27" t="inlineStr">
        <is>
          <t>주식회사 라누보</t>
        </is>
      </c>
      <c r="C131" s="28" t="n">
        <v>2089998</v>
      </c>
      <c r="D131" s="27" t="inlineStr">
        <is>
          <t>매출</t>
        </is>
      </c>
      <c r="E131" s="27" t="inlineStr">
        <is>
          <t>상</t>
        </is>
      </c>
      <c r="F131" s="27" t="inlineStr">
        <is>
          <t>카카오뱅크</t>
        </is>
      </c>
      <c r="G131" s="27" t="inlineStr">
        <is>
          <t>입금</t>
        </is>
      </c>
    </row>
    <row r="132">
      <c r="A132" s="27" t="inlineStr">
        <is>
          <t>2026-04-01</t>
        </is>
      </c>
      <c r="B132" s="27" t="inlineStr">
        <is>
          <t>예금이자</t>
        </is>
      </c>
      <c r="C132" s="28" t="n">
        <v>1116</v>
      </c>
      <c r="D132" s="27" t="inlineStr">
        <is>
          <t>제외(이자)</t>
        </is>
      </c>
      <c r="E132" s="27" t="inlineStr">
        <is>
          <t>상</t>
        </is>
      </c>
      <c r="F132" s="27" t="inlineStr">
        <is>
          <t>카카오뱅크</t>
        </is>
      </c>
      <c r="G132" s="27" t="inlineStr">
        <is>
          <t>입금</t>
        </is>
      </c>
    </row>
    <row r="133">
      <c r="A133" s="29" t="inlineStr">
        <is>
          <t>2026-04-01</t>
        </is>
      </c>
      <c r="B133" s="29" t="inlineStr">
        <is>
          <t>안희은세무사</t>
        </is>
      </c>
      <c r="C133" s="30" t="n">
        <v>110000</v>
      </c>
      <c r="D133" s="29" t="inlineStr">
        <is>
          <t>운영비</t>
        </is>
      </c>
      <c r="E133" s="29" t="inlineStr">
        <is>
          <t>상</t>
        </is>
      </c>
      <c r="F133" s="29" t="inlineStr">
        <is>
          <t>카카오뱅크</t>
        </is>
      </c>
      <c r="G133" s="29" t="inlineStr">
        <is>
          <t>출금</t>
        </is>
      </c>
    </row>
    <row r="134">
      <c r="A134" s="29" t="inlineStr">
        <is>
          <t>2026-04-02</t>
        </is>
      </c>
      <c r="B134" s="29" t="inlineStr">
        <is>
          <t>조경이</t>
        </is>
      </c>
      <c r="C134" s="30" t="n">
        <v>302000</v>
      </c>
      <c r="D134" s="29" t="inlineStr">
        <is>
          <t>매출원가 (물건 사입비)</t>
        </is>
      </c>
      <c r="E134" s="29" t="inlineStr">
        <is>
          <t>상</t>
        </is>
      </c>
      <c r="F134" s="29" t="inlineStr">
        <is>
          <t>카카오뱅크</t>
        </is>
      </c>
      <c r="G134" s="29" t="inlineStr">
        <is>
          <t>출금</t>
        </is>
      </c>
    </row>
    <row r="135">
      <c r="A135" s="29" t="inlineStr">
        <is>
          <t>2026-04-20</t>
        </is>
      </c>
      <c r="B135" s="29" t="inlineStr">
        <is>
          <t>티태그</t>
        </is>
      </c>
      <c r="C135" s="30" t="n">
        <v>770000</v>
      </c>
      <c r="D135" s="29" t="inlineStr">
        <is>
          <t>매출원가</t>
        </is>
      </c>
      <c r="E135" s="29" t="inlineStr">
        <is>
          <t>상</t>
        </is>
      </c>
      <c r="F135" s="29" t="inlineStr">
        <is>
          <t>카카오뱅크</t>
        </is>
      </c>
      <c r="G135" s="29" t="inlineStr">
        <is>
          <t>출금</t>
        </is>
      </c>
    </row>
    <row r="136">
      <c r="A136" s="29" t="inlineStr">
        <is>
          <t>2026-04-20</t>
        </is>
      </c>
      <c r="B136" s="29" t="inlineStr">
        <is>
          <t>패키징 비용</t>
        </is>
      </c>
      <c r="C136" s="30" t="n">
        <v>1700000</v>
      </c>
      <c r="D136" s="29" t="inlineStr">
        <is>
          <t>매출원가</t>
        </is>
      </c>
      <c r="E136" s="29" t="inlineStr">
        <is>
          <t>상</t>
        </is>
      </c>
      <c r="F136" s="29" t="inlineStr">
        <is>
          <t>카카오뱅크</t>
        </is>
      </c>
      <c r="G136" s="29" t="inlineStr">
        <is>
          <t>출금</t>
        </is>
      </c>
    </row>
    <row r="137">
      <c r="A137" s="29" t="inlineStr">
        <is>
          <t>2026-04-22</t>
        </is>
      </c>
      <c r="B137" s="29" t="inlineStr">
        <is>
          <t>(주)디앤피</t>
        </is>
      </c>
      <c r="C137" s="30" t="n">
        <v>187220</v>
      </c>
      <c r="D137" s="29" t="inlineStr">
        <is>
          <t>운영비 (인쇄비)</t>
        </is>
      </c>
      <c r="E137" s="29" t="inlineStr">
        <is>
          <t>상</t>
        </is>
      </c>
      <c r="F137" s="29" t="inlineStr">
        <is>
          <t>카카오뱅크</t>
        </is>
      </c>
      <c r="G137" s="29" t="inlineStr">
        <is>
          <t>출금</t>
        </is>
      </c>
    </row>
    <row r="138">
      <c r="A138" s="29" t="inlineStr">
        <is>
          <t>2026-04-23</t>
        </is>
      </c>
      <c r="B138" s="29" t="inlineStr">
        <is>
          <t>강은송</t>
        </is>
      </c>
      <c r="C138" s="30" t="n">
        <v>2000000</v>
      </c>
      <c r="D138" s="29" t="inlineStr">
        <is>
          <t>제외(자기이체)</t>
        </is>
      </c>
      <c r="E138" s="29" t="inlineStr">
        <is>
          <t>상</t>
        </is>
      </c>
      <c r="F138" s="29" t="inlineStr">
        <is>
          <t>카카오뱅크</t>
        </is>
      </c>
      <c r="G138" s="29" t="inlineStr">
        <is>
          <t>출금</t>
        </is>
      </c>
    </row>
    <row r="139">
      <c r="A139" s="29" t="inlineStr">
        <is>
          <t>2026-04-27</t>
        </is>
      </c>
      <c r="B139" s="29" t="inlineStr">
        <is>
          <t>강은송</t>
        </is>
      </c>
      <c r="C139" s="30" t="n">
        <v>1000000</v>
      </c>
      <c r="D139" s="29" t="inlineStr">
        <is>
          <t>제외(자기이체)</t>
        </is>
      </c>
      <c r="E139" s="29" t="inlineStr">
        <is>
          <t>상</t>
        </is>
      </c>
      <c r="F139" s="29" t="inlineStr">
        <is>
          <t>카카오뱅크</t>
        </is>
      </c>
      <c r="G139" s="29" t="inlineStr">
        <is>
          <t>출금</t>
        </is>
      </c>
    </row>
    <row r="140">
      <c r="A140" s="29" t="inlineStr">
        <is>
          <t>2026-04-28</t>
        </is>
      </c>
      <c r="B140" s="29" t="inlineStr">
        <is>
          <t>이혜연(에리카메이크)</t>
        </is>
      </c>
      <c r="C140" s="30" t="n">
        <v>150000</v>
      </c>
      <c r="D140" s="29" t="inlineStr">
        <is>
          <t>운영비</t>
        </is>
      </c>
      <c r="E140" s="29" t="inlineStr">
        <is>
          <t>상</t>
        </is>
      </c>
      <c r="F140" s="29" t="inlineStr">
        <is>
          <t>카카오뱅크</t>
        </is>
      </c>
      <c r="G140" s="29" t="inlineStr">
        <is>
          <t>출금</t>
        </is>
      </c>
    </row>
    <row r="141">
      <c r="A141" s="29" t="inlineStr">
        <is>
          <t>2026-04-28</t>
        </is>
      </c>
      <c r="B141" s="29" t="inlineStr">
        <is>
          <t>김은경</t>
        </is>
      </c>
      <c r="C141" s="30" t="n">
        <v>90000</v>
      </c>
      <c r="D141" s="29" t="inlineStr">
        <is>
          <t>기타(신뢰도하)</t>
        </is>
      </c>
      <c r="E141" s="29" t="inlineStr">
        <is>
          <t>하</t>
        </is>
      </c>
      <c r="F141" s="29" t="inlineStr">
        <is>
          <t>카카오뱅크</t>
        </is>
      </c>
      <c r="G141" s="29" t="inlineStr">
        <is>
          <t>출금</t>
        </is>
      </c>
    </row>
    <row r="142">
      <c r="A142" s="29" t="inlineStr">
        <is>
          <t>카드내역 월평균</t>
        </is>
      </c>
      <c r="B142" s="29" t="inlineStr">
        <is>
          <t>네이버페이/쿠팡 등 (상품매입)</t>
        </is>
      </c>
      <c r="C142" s="30" t="n">
        <v>1436945</v>
      </c>
      <c r="D142" s="29" t="inlineStr">
        <is>
          <t>매출원가</t>
        </is>
      </c>
      <c r="E142" s="29" t="inlineStr">
        <is>
          <t>상</t>
        </is>
      </c>
      <c r="F142" s="29" t="inlineStr">
        <is>
          <t>카드(6개월평균)</t>
        </is>
      </c>
      <c r="G142" s="29" t="inlineStr">
        <is>
          <t>출금</t>
        </is>
      </c>
    </row>
    <row r="143">
      <c r="A143" s="29" t="inlineStr">
        <is>
          <t>카드내역 월평균</t>
        </is>
      </c>
      <c r="B143" s="29" t="inlineStr">
        <is>
          <t>건강보험공단 (사대보험)</t>
        </is>
      </c>
      <c r="C143" s="30" t="n">
        <v>234697</v>
      </c>
      <c r="D143" s="29" t="inlineStr">
        <is>
          <t>사대보험/퇴직금</t>
        </is>
      </c>
      <c r="E143" s="29" t="inlineStr">
        <is>
          <t>상</t>
        </is>
      </c>
      <c r="F143" s="29" t="inlineStr">
        <is>
          <t>카드(6개월평균)</t>
        </is>
      </c>
      <c r="G143" s="29" t="inlineStr">
        <is>
          <t>출금</t>
        </is>
      </c>
    </row>
    <row r="144">
      <c r="A144" s="29" t="inlineStr">
        <is>
          <t>카드내역 월평균</t>
        </is>
      </c>
      <c r="B144" s="29" t="inlineStr">
        <is>
          <t>아임웹/MANYCHAT/크몽 등 (운영비)</t>
        </is>
      </c>
      <c r="C144" s="30" t="n">
        <v>135270</v>
      </c>
      <c r="D144" s="29" t="inlineStr">
        <is>
          <t>운영비</t>
        </is>
      </c>
      <c r="E144" s="29" t="inlineStr">
        <is>
          <t>상</t>
        </is>
      </c>
      <c r="F144" s="29" t="inlineStr">
        <is>
          <t>카드(6개월평균)</t>
        </is>
      </c>
      <c r="G144" s="29" t="inlineStr">
        <is>
          <t>출금</t>
        </is>
      </c>
    </row>
    <row r="145">
      <c r="A145" s="29" t="inlineStr">
        <is>
          <t>카드내역 월평균</t>
        </is>
      </c>
      <c r="B145" s="29" t="inlineStr">
        <is>
          <t>기타 카드거래</t>
        </is>
      </c>
      <c r="C145" s="30" t="n">
        <v>141890</v>
      </c>
      <c r="D145" s="29" t="inlineStr">
        <is>
          <t>기타</t>
        </is>
      </c>
      <c r="E145" s="29" t="inlineStr">
        <is>
          <t>중</t>
        </is>
      </c>
      <c r="F145" s="29" t="inlineStr">
        <is>
          <t>카드(6개월평균)</t>
        </is>
      </c>
      <c r="G145" s="29" t="inlineStr">
        <is>
          <t>출금</t>
        </is>
      </c>
    </row>
  </sheetData>
  <autoFilter ref="A2:G145"/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16" customWidth="1" min="3" max="3"/>
    <col width="14" customWidth="1" min="4" max="4"/>
    <col width="8" customWidth="1" min="5" max="5"/>
    <col width="52" customWidth="1" min="6" max="6"/>
  </cols>
  <sheetData>
    <row r="1" ht="26" customHeight="1">
      <c r="A1" s="31" t="inlineStr">
        <is>
          <t>분류불명 거래 목록 (신뢰도 "하" — 사용자 확인 필요)</t>
        </is>
      </c>
    </row>
    <row r="2">
      <c r="A2" s="32" t="inlineStr">
        <is>
          <t>※ 아래 항목들은 성격이 불명확합니다. 각 항목 확인 후 시트1(채산표)의 해당 금액을 조정해주세요.</t>
        </is>
      </c>
    </row>
    <row r="3" ht="20" customHeight="1">
      <c r="A3" s="33" t="inlineStr">
        <is>
          <t>날짜</t>
        </is>
      </c>
      <c r="B3" s="33" t="inlineStr">
        <is>
          <t>거래처</t>
        </is>
      </c>
      <c r="C3" s="33" t="inlineStr">
        <is>
          <t>금액 (원)</t>
        </is>
      </c>
      <c r="D3" s="33" t="inlineStr">
        <is>
          <t>임시분류</t>
        </is>
      </c>
      <c r="E3" s="33" t="inlineStr">
        <is>
          <t>입출금</t>
        </is>
      </c>
      <c r="F3" s="33" t="inlineStr">
        <is>
          <t>확인 필요 사항</t>
        </is>
      </c>
    </row>
    <row r="4">
      <c r="A4" t="inlineStr">
        <is>
          <t>2026-04-28</t>
        </is>
      </c>
      <c r="B4" t="inlineStr">
        <is>
          <t>김은경</t>
        </is>
      </c>
      <c r="C4" t="n">
        <v>90000</v>
      </c>
      <c r="D4" t="inlineStr">
        <is>
          <t>기타</t>
        </is>
      </c>
      <c r="E4" t="inlineStr">
        <is>
          <t>출금</t>
        </is>
      </c>
      <c r="F4" t="inlineStr">
        <is>
          <t>개인명 소액 이체. 용도 불명 — 확인 필요</t>
        </is>
      </c>
    </row>
    <row r="5">
      <c r="A5" t="inlineStr">
        <is>
          <t>2026-01-11</t>
        </is>
      </c>
      <c r="B5" t="inlineStr">
        <is>
          <t>송명희</t>
        </is>
      </c>
      <c r="C5" t="n">
        <v>23400</v>
      </c>
      <c r="D5" t="inlineStr">
        <is>
          <t>기타</t>
        </is>
      </c>
      <c r="E5" t="inlineStr">
        <is>
          <t>출금</t>
        </is>
      </c>
      <c r="F5" t="inlineStr">
        <is>
          <t>개인명 소액 이체. 용도 불명 — 확인 필요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2026-05-20T10:18:12Z</dcterms:created>
  <dcterms:modified xsi:type="dcterms:W3CDTF">2026-05-20T10:26:59Z</dcterms:modified>
</cp:coreProperties>
</file>