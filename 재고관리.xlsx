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고관리" sheetId="1" state="visible" r:id="rId1"/>
  </sheets>
  <definedNames>
    <definedName name="_xlnm.Print_Titles" localSheetId="0">'재고관리'!$1:$1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b val="1"/>
      <color rgb="00003060"/>
      <sz val="11"/>
    </font>
    <font>
      <name val="Arial"/>
      <color rgb="00000000"/>
      <sz val="11"/>
    </font>
    <font>
      <name val="Arial"/>
      <b val="1"/>
      <color rgb="000000FF"/>
      <sz val="11"/>
    </font>
    <font>
      <name val="Arial"/>
      <i val="1"/>
      <color rgb="00666666"/>
      <sz val="11"/>
    </font>
    <font>
      <name val="Arial"/>
      <color rgb="00AAAAAA"/>
      <sz val="11"/>
    </font>
    <font>
      <name val="Arial"/>
      <b val="1"/>
      <color rgb="00000000"/>
      <sz val="11"/>
    </font>
    <font>
      <name val="Arial"/>
      <b val="1"/>
      <color rgb="00000000"/>
      <sz val="12"/>
    </font>
    <font>
      <name val="Arial"/>
      <b val="1"/>
      <sz val="11"/>
    </font>
    <font>
      <name val="Arial"/>
      <color rgb="00666666"/>
      <sz val="11"/>
    </font>
  </fonts>
  <fills count="10">
    <fill>
      <patternFill/>
    </fill>
    <fill>
      <patternFill patternType="gray125"/>
    </fill>
    <fill>
      <patternFill patternType="solid">
        <fgColor rgb="002C5F8A"/>
      </patternFill>
    </fill>
    <fill>
      <patternFill patternType="solid">
        <fgColor rgb="004A90C4"/>
      </patternFill>
    </fill>
    <fill>
      <patternFill patternType="solid">
        <fgColor rgb="00D6E8F7"/>
      </patternFill>
    </fill>
    <fill>
      <patternFill patternType="solid">
        <fgColor rgb="00EBF5FB"/>
      </patternFill>
    </fill>
    <fill>
      <patternFill patternType="solid">
        <fgColor rgb="00F7FBFF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4" fillId="8" borderId="2" applyAlignment="1" pivotButton="0" quotePrefix="0" xfId="0">
      <alignment horizontal="left" vertical="center"/>
    </xf>
    <xf numFmtId="0" fontId="4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6" customHeight="1">
      <c r="A1" s="1" t="inlineStr">
        <is>
          <t>구성품 연동형 재고 관리</t>
        </is>
      </c>
    </row>
    <row r="2" ht="22" customHeight="1"/>
    <row r="3" ht="22" customHeight="1">
      <c r="A3" s="2" t="inlineStr">
        <is>
          <t>◼ 기초 재고 설정 (고정값)</t>
        </is>
      </c>
    </row>
    <row r="4" ht="22" customHeight="1">
      <c r="A4" s="3" t="inlineStr">
        <is>
          <t>구성품</t>
        </is>
      </c>
      <c r="B4" s="3" t="inlineStr">
        <is>
          <t>기초 재고 (개)</t>
        </is>
      </c>
    </row>
    <row r="5" ht="22" customHeight="1">
      <c r="A5" s="4" t="inlineStr">
        <is>
          <t>티백</t>
        </is>
      </c>
      <c r="B5" s="5" t="n">
        <v>900</v>
      </c>
    </row>
    <row r="6" ht="22" customHeight="1">
      <c r="A6" s="4" t="inlineStr">
        <is>
          <t>잎차</t>
        </is>
      </c>
      <c r="B6" s="5" t="n">
        <v>130</v>
      </c>
    </row>
    <row r="7" ht="22" customHeight="1">
      <c r="A7" s="4" t="inlineStr">
        <is>
          <t>파우더</t>
        </is>
      </c>
      <c r="B7" s="5" t="n">
        <v>130</v>
      </c>
    </row>
    <row r="8" ht="22" customHeight="1"/>
    <row r="9" ht="22" customHeight="1">
      <c r="A9" s="2" t="inlineStr">
        <is>
          <t>◼ 판매 수량 입력</t>
        </is>
      </c>
    </row>
    <row r="10" ht="22" customHeight="1">
      <c r="A10" s="3" t="inlineStr">
        <is>
          <t>상품명</t>
        </is>
      </c>
      <c r="B10" s="3" t="inlineStr">
        <is>
          <t>판매 수량</t>
        </is>
      </c>
      <c r="C10" s="3" t="inlineStr">
        <is>
          <t>티백 차감</t>
        </is>
      </c>
      <c r="D10" s="3" t="inlineStr">
        <is>
          <t>잎차 차감</t>
        </is>
      </c>
      <c r="E10" s="3" t="inlineStr">
        <is>
          <t>파우더 차감</t>
        </is>
      </c>
      <c r="F10" s="3" t="inlineStr">
        <is>
          <t>비고</t>
        </is>
      </c>
    </row>
    <row r="11" ht="22" customHeight="1">
      <c r="A11" s="6" t="inlineStr">
        <is>
          <t>기본 풀SET</t>
        </is>
      </c>
      <c r="B11" s="7" t="n">
        <v>0</v>
      </c>
      <c r="C11" s="8">
        <f>B11*1</f>
        <v/>
      </c>
      <c r="D11" s="8">
        <f>B11*1</f>
        <v/>
      </c>
      <c r="E11" s="8">
        <f>B11*1</f>
        <v/>
      </c>
      <c r="F11" s="9" t="inlineStr">
        <is>
          <t>티백+잎차+파우더 각 1개</t>
        </is>
      </c>
    </row>
    <row r="12" ht="22" customHeight="1">
      <c r="A12" s="10" t="inlineStr">
        <is>
          <t>티백 3개 SET</t>
        </is>
      </c>
      <c r="B12" s="7" t="n">
        <v>0</v>
      </c>
      <c r="C12" s="11">
        <f>B12*3</f>
        <v/>
      </c>
      <c r="D12" s="12" t="inlineStr">
        <is>
          <t>-</t>
        </is>
      </c>
      <c r="E12" s="12" t="inlineStr">
        <is>
          <t>-</t>
        </is>
      </c>
      <c r="F12" s="13" t="inlineStr">
        <is>
          <t>티백 3개</t>
        </is>
      </c>
    </row>
    <row r="13" ht="22" customHeight="1">
      <c r="A13" s="6" t="inlineStr">
        <is>
          <t>티백 6개 SET</t>
        </is>
      </c>
      <c r="B13" s="7" t="n">
        <v>0</v>
      </c>
      <c r="C13" s="8">
        <f>B13*6</f>
        <v/>
      </c>
      <c r="D13" s="14" t="inlineStr">
        <is>
          <t>-</t>
        </is>
      </c>
      <c r="E13" s="14" t="inlineStr">
        <is>
          <t>-</t>
        </is>
      </c>
      <c r="F13" s="9" t="inlineStr">
        <is>
          <t>티백 6개</t>
        </is>
      </c>
    </row>
    <row r="14" ht="22" customHeight="1">
      <c r="A14" s="10" t="inlineStr">
        <is>
          <t>잎차 3개 SET</t>
        </is>
      </c>
      <c r="B14" s="7" t="n">
        <v>0</v>
      </c>
      <c r="C14" s="12" t="inlineStr">
        <is>
          <t>-</t>
        </is>
      </c>
      <c r="D14" s="11">
        <f>B14*3</f>
        <v/>
      </c>
      <c r="E14" s="12" t="inlineStr">
        <is>
          <t>-</t>
        </is>
      </c>
      <c r="F14" s="13" t="inlineStr">
        <is>
          <t>잎차 3개</t>
        </is>
      </c>
    </row>
    <row r="15" ht="22" customHeight="1">
      <c r="A15" s="6" t="inlineStr">
        <is>
          <t>파우더 3개 SET</t>
        </is>
      </c>
      <c r="B15" s="7" t="n">
        <v>0</v>
      </c>
      <c r="C15" s="14" t="inlineStr">
        <is>
          <t>-</t>
        </is>
      </c>
      <c r="D15" s="14" t="inlineStr">
        <is>
          <t>-</t>
        </is>
      </c>
      <c r="E15" s="8">
        <f>B15*3</f>
        <v/>
      </c>
      <c r="F15" s="9" t="inlineStr">
        <is>
          <t>파우더 3개</t>
        </is>
      </c>
    </row>
    <row r="16" ht="22" customHeight="1">
      <c r="A16" s="10" t="inlineStr">
        <is>
          <t>티백 단품</t>
        </is>
      </c>
      <c r="B16" s="7" t="n">
        <v>0</v>
      </c>
      <c r="C16" s="11">
        <f>B16*1</f>
        <v/>
      </c>
      <c r="D16" s="12" t="inlineStr">
        <is>
          <t>-</t>
        </is>
      </c>
      <c r="E16" s="12" t="inlineStr">
        <is>
          <t>-</t>
        </is>
      </c>
      <c r="F16" s="13" t="inlineStr">
        <is>
          <t>티백 1개</t>
        </is>
      </c>
    </row>
    <row r="17" ht="22" customHeight="1">
      <c r="A17" s="6" t="inlineStr">
        <is>
          <t>잎차 단품</t>
        </is>
      </c>
      <c r="B17" s="7" t="n">
        <v>0</v>
      </c>
      <c r="C17" s="14" t="inlineStr">
        <is>
          <t>-</t>
        </is>
      </c>
      <c r="D17" s="8">
        <f>B17*1</f>
        <v/>
      </c>
      <c r="E17" s="14" t="inlineStr">
        <is>
          <t>-</t>
        </is>
      </c>
      <c r="F17" s="9" t="inlineStr">
        <is>
          <t>잎차 1개</t>
        </is>
      </c>
    </row>
    <row r="18" ht="22" customHeight="1">
      <c r="A18" s="10" t="inlineStr">
        <is>
          <t>파우더 단품</t>
        </is>
      </c>
      <c r="B18" s="7" t="n">
        <v>0</v>
      </c>
      <c r="C18" s="12" t="inlineStr">
        <is>
          <t>-</t>
        </is>
      </c>
      <c r="D18" s="12" t="inlineStr">
        <is>
          <t>-</t>
        </is>
      </c>
      <c r="E18" s="11">
        <f>B18*1</f>
        <v/>
      </c>
      <c r="F18" s="13" t="inlineStr">
        <is>
          <t>파우더 1개</t>
        </is>
      </c>
    </row>
    <row r="19" ht="24" customHeight="1">
      <c r="A19" s="15" t="inlineStr">
        <is>
          <t>합  계</t>
        </is>
      </c>
      <c r="B19" s="16">
        <f>SUM(B11:B18)</f>
        <v/>
      </c>
      <c r="C19" s="16">
        <f>SUMPRODUCT(ISNUMBER(C11:C18)*(C11:C18))</f>
        <v/>
      </c>
      <c r="D19" s="16">
        <f>SUMPRODUCT(ISNUMBER(D11:D18)*(D11:D18))</f>
        <v/>
      </c>
      <c r="E19" s="16">
        <f>SUMPRODUCT(ISNUMBER(E11:E18)*(E11:E18))</f>
        <v/>
      </c>
      <c r="F19" s="17" t="inlineStr"/>
    </row>
    <row r="20" ht="22" customHeight="1"/>
    <row r="21" ht="26" customHeight="1">
      <c r="A21" s="2" t="inlineStr">
        <is>
          <t>◼ 현재 재고 현황</t>
        </is>
      </c>
    </row>
    <row r="22" ht="22" customHeight="1">
      <c r="A22" s="3" t="inlineStr">
        <is>
          <t>구성품</t>
        </is>
      </c>
      <c r="B22" s="3" t="inlineStr">
        <is>
          <t>기초 재고</t>
        </is>
      </c>
      <c r="C22" s="3" t="inlineStr">
        <is>
          <t>총 차감량</t>
        </is>
      </c>
      <c r="D22" s="3" t="inlineStr">
        <is>
          <t>현재 재고</t>
        </is>
      </c>
      <c r="E22" s="3" t="inlineStr">
        <is>
          <t>재고 상태</t>
        </is>
      </c>
      <c r="F22" s="3" t="inlineStr">
        <is>
          <t>비고</t>
        </is>
      </c>
    </row>
    <row r="23" ht="24" customHeight="1">
      <c r="A23" s="18" t="inlineStr">
        <is>
          <t>티백</t>
        </is>
      </c>
      <c r="B23" s="19">
        <f>B5</f>
        <v/>
      </c>
      <c r="C23" s="19">
        <f>C19</f>
        <v/>
      </c>
      <c r="D23" s="20">
        <f>B23-C23</f>
        <v/>
      </c>
      <c r="E23" s="21">
        <f>IF(D23&lt;=0,"⛔ 재고 없음",IF(D23&lt;=20,"⚠ 재고 부족","✅ 정상"))</f>
        <v/>
      </c>
      <c r="F23" s="22" t="inlineStr"/>
    </row>
    <row r="24" ht="24" customHeight="1">
      <c r="A24" s="18" t="inlineStr">
        <is>
          <t>잎차</t>
        </is>
      </c>
      <c r="B24" s="19">
        <f>B6</f>
        <v/>
      </c>
      <c r="C24" s="19">
        <f>D19</f>
        <v/>
      </c>
      <c r="D24" s="20">
        <f>B24-C24</f>
        <v/>
      </c>
      <c r="E24" s="21">
        <f>IF(D24&lt;=0,"⛔ 재고 없음",IF(D24&lt;=20,"⚠ 재고 부족","✅ 정상"))</f>
        <v/>
      </c>
      <c r="F24" s="22" t="inlineStr"/>
    </row>
    <row r="25" ht="24" customHeight="1">
      <c r="A25" s="18" t="inlineStr">
        <is>
          <t>파우더</t>
        </is>
      </c>
      <c r="B25" s="19">
        <f>B7</f>
        <v/>
      </c>
      <c r="C25" s="19">
        <f>E19</f>
        <v/>
      </c>
      <c r="D25" s="20">
        <f>B25-C25</f>
        <v/>
      </c>
      <c r="E25" s="21">
        <f>IF(D25&lt;=0,"⛔ 재고 없음",IF(D25&lt;=20,"⚠ 재고 부족","✅ 정상"))</f>
        <v/>
      </c>
      <c r="F25" s="22" t="inlineStr"/>
    </row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4">
    <mergeCell ref="A3:F3"/>
    <mergeCell ref="A21:F21"/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2026-05-05T13:02:24Z</dcterms:created>
  <dcterms:modified xsi:type="dcterms:W3CDTF">2026-05-05T13:02:24Z</dcterms:modified>
</cp:coreProperties>
</file>