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고관리" sheetId="1" state="visible" r:id="rId1"/>
    <sheet name="쇼핑백 재고" sheetId="2" state="visible" r:id="rId2"/>
    <sheet name="이동 로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b val="1"/>
      <color rgb="00FFFFFF"/>
      <sz val="12"/>
    </font>
    <font>
      <name val="Arial"/>
      <b val="1"/>
      <color rgb="00003060"/>
      <sz val="11"/>
    </font>
    <font>
      <name val="Arial"/>
      <color rgb="00000000"/>
      <sz val="11"/>
    </font>
    <font>
      <name val="Arial"/>
      <b val="1"/>
      <color rgb="000000FF"/>
      <sz val="12"/>
    </font>
    <font>
      <name val="Arial"/>
      <b val="1"/>
      <color rgb="005E35B1"/>
      <sz val="11"/>
    </font>
    <font>
      <name val="Arial"/>
      <b val="1"/>
      <color rgb="00000000"/>
      <sz val="11"/>
    </font>
    <font>
      <name val="Arial"/>
      <b val="1"/>
      <color rgb="000000FF"/>
      <sz val="11"/>
    </font>
    <font>
      <name val="Arial"/>
      <i val="1"/>
      <color rgb="00666666"/>
      <sz val="11"/>
    </font>
    <font>
      <name val="Arial"/>
      <b val="1"/>
      <color rgb="001A6B8A"/>
      <sz val="11"/>
    </font>
    <font>
      <name val="Arial"/>
      <b val="1"/>
      <color rgb="00000000"/>
      <sz val="13"/>
    </font>
    <font>
      <name val="Arial"/>
      <b val="1"/>
      <color rgb="002E7D32"/>
      <sz val="11"/>
    </font>
    <font>
      <name val="Arial"/>
      <b val="1"/>
      <color rgb="007B3F00"/>
      <sz val="11"/>
    </font>
    <font>
      <name val="Arial"/>
      <b val="1"/>
      <color rgb="001A6B8A"/>
      <sz val="14"/>
    </font>
    <font>
      <name val="Arial"/>
      <b val="1"/>
      <sz val="11"/>
    </font>
    <font>
      <name val="Arial"/>
      <b val="1"/>
      <color rgb="002E7D32"/>
      <sz val="14"/>
    </font>
    <font>
      <name val="Arial"/>
      <b val="1"/>
      <color rgb="007B3F00"/>
      <sz val="14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00000"/>
      <sz val="12"/>
    </font>
    <font>
      <name val="Arial"/>
      <b val="1"/>
      <color rgb="00FFFFFF"/>
      <sz val="13"/>
    </font>
    <font>
      <name val="Arial"/>
      <b val="1"/>
      <color rgb="003949AB"/>
      <sz val="11"/>
    </font>
    <font>
      <name val="Arial"/>
      <color rgb="003949AB"/>
      <sz val="11"/>
    </font>
    <font>
      <name val="Arial"/>
      <i val="1"/>
      <color rgb="00607D8B"/>
      <sz val="10"/>
    </font>
  </fonts>
  <fills count="32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D6E8F7"/>
      </patternFill>
    </fill>
    <fill>
      <patternFill patternType="solid">
        <fgColor rgb="00EBF5FB"/>
      </patternFill>
    </fill>
    <fill>
      <patternFill patternType="solid">
        <fgColor rgb="00F5F5F5"/>
      </patternFill>
    </fill>
    <fill>
      <patternFill patternType="solid">
        <fgColor rgb="005E35B1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1A6B8A"/>
      </patternFill>
    </fill>
    <fill>
      <patternFill patternType="solid">
        <fgColor rgb="00E3F2FD"/>
      </patternFill>
    </fill>
    <fill>
      <patternFill patternType="solid">
        <fgColor rgb="0090CAF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A5D6A7"/>
      </patternFill>
    </fill>
    <fill>
      <patternFill patternType="solid">
        <fgColor rgb="007B3F00"/>
      </patternFill>
    </fill>
    <fill>
      <patternFill patternType="solid">
        <fgColor rgb="00FFF3E0"/>
      </patternFill>
    </fill>
    <fill>
      <patternFill patternType="solid">
        <fgColor rgb="00FFCC80"/>
      </patternFill>
    </fill>
    <fill>
      <patternFill patternType="solid">
        <fgColor rgb="004A6741"/>
      </patternFill>
    </fill>
    <fill>
      <patternFill patternType="solid">
        <fgColor rgb="00FAFFF5"/>
      </patternFill>
    </fill>
    <fill>
      <patternFill patternType="solid">
        <fgColor rgb="00F7FFF0"/>
      </patternFill>
    </fill>
    <fill>
      <patternFill patternType="solid">
        <fgColor rgb="00EBF5EB"/>
      </patternFill>
    </fill>
    <fill>
      <patternFill patternType="solid">
        <fgColor rgb="00FFFFFF"/>
      </patternFill>
    </fill>
    <fill>
      <patternFill patternType="solid">
        <fgColor rgb="00C5E1A5"/>
      </patternFill>
    </fill>
    <fill>
      <patternFill patternType="solid">
        <fgColor rgb="00E8EAF6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D32F2F"/>
      </patternFill>
    </fill>
    <fill>
      <patternFill patternType="solid">
        <fgColor rgb="001565C0"/>
      </patternFill>
    </fill>
    <fill>
      <patternFill patternType="solid">
        <fgColor rgb="00ECEFF1"/>
      </patternFill>
    </fill>
    <fill>
      <patternFill patternType="solid">
        <fgColor rgb="00FAFAFA"/>
      </patternFill>
    </fill>
    <fill>
      <patternFill patternType="solid">
        <fgColor rgb="00FFEBEE"/>
      </patternFill>
    </fill>
  </fills>
  <borders count="20">
    <border>
      <left/>
      <right/>
      <top/>
      <bottom/>
      <diagonal/>
    </border>
    <border>
      <left style="medium">
        <color rgb="00444444"/>
      </left>
      <right style="medium">
        <color rgb="00444444"/>
      </right>
      <top style="medium">
        <color rgb="00444444"/>
      </top>
      <bottom style="medium">
        <color rgb="00444444"/>
      </bottom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medium">
        <color rgb="00666666"/>
      </top>
      <bottom/>
      <diagonal/>
    </border>
    <border>
      <left/>
      <right style="medium">
        <color rgb="00666666"/>
      </right>
      <top style="medium">
        <color rgb="00666666"/>
      </top>
      <bottom/>
      <diagonal/>
    </border>
    <border>
      <left/>
      <right/>
      <top style="medium">
        <color rgb="00666666"/>
      </top>
      <bottom style="medium">
        <color rgb="00666666"/>
      </bottom>
      <diagonal/>
    </border>
    <border>
      <left/>
      <right style="medium">
        <color rgb="00666666"/>
      </right>
      <top style="medium">
        <color rgb="00666666"/>
      </top>
      <bottom style="medium">
        <color rgb="00666666"/>
      </bottom>
      <diagonal/>
    </border>
    <border>
      <left/>
      <right/>
      <top style="medium">
        <color rgb="00444444"/>
      </top>
      <bottom/>
      <diagonal/>
    </border>
    <border>
      <left/>
      <right style="medium">
        <color rgb="00444444"/>
      </right>
      <top style="medium">
        <color rgb="00444444"/>
      </top>
      <bottom/>
      <diagonal/>
    </border>
    <border>
      <left/>
      <right/>
      <top style="medium">
        <color rgb="00444444"/>
      </top>
      <bottom style="medium">
        <color rgb="00444444"/>
      </bottom>
      <diagonal/>
    </border>
    <border>
      <left/>
      <right style="medium">
        <color rgb="00444444"/>
      </right>
      <top style="medium">
        <color rgb="00444444"/>
      </top>
      <bottom style="medium">
        <color rgb="0044444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medium">
        <color rgb="00BDBDBD"/>
      </left>
      <right style="medium">
        <color rgb="00BDBDBD"/>
      </right>
      <top style="medium">
        <color rgb="00BDBDBD"/>
      </top>
      <bottom style="medium">
        <color rgb="00BDBDBD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0" fontId="6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/>
    </xf>
    <xf numFmtId="0" fontId="8" fillId="8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2" fillId="9" borderId="2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4" fillId="10" borderId="3" applyAlignment="1" pivotButton="0" quotePrefix="0" xfId="0">
      <alignment horizontal="left" vertical="center"/>
    </xf>
    <xf numFmtId="0" fontId="4" fillId="10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center"/>
    </xf>
    <xf numFmtId="0" fontId="12" fillId="13" borderId="3" applyAlignment="1" pivotButton="0" quotePrefix="0" xfId="0">
      <alignment horizontal="center" vertical="center"/>
    </xf>
    <xf numFmtId="0" fontId="4" fillId="13" borderId="3" applyAlignment="1" pivotButton="0" quotePrefix="0" xfId="0">
      <alignment horizontal="left" vertical="center"/>
    </xf>
    <xf numFmtId="0" fontId="4" fillId="13" borderId="3" applyAlignment="1" pivotButton="0" quotePrefix="0" xfId="0">
      <alignment horizontal="center" vertical="center"/>
    </xf>
    <xf numFmtId="0" fontId="7" fillId="14" borderId="3" applyAlignment="1" pivotButton="0" quotePrefix="0" xfId="0">
      <alignment horizontal="left" vertical="center"/>
    </xf>
    <xf numFmtId="0" fontId="4" fillId="14" borderId="3" applyAlignment="1" pivotButton="0" quotePrefix="0" xfId="0">
      <alignment horizontal="center" vertical="center"/>
    </xf>
    <xf numFmtId="0" fontId="11" fillId="14" borderId="3" applyAlignment="1" pivotButton="0" quotePrefix="0" xfId="0">
      <alignment horizontal="center" vertical="center"/>
    </xf>
    <xf numFmtId="0" fontId="2" fillId="15" borderId="2" applyAlignment="1" pivotButton="0" quotePrefix="0" xfId="0">
      <alignment horizontal="left" vertical="center"/>
    </xf>
    <xf numFmtId="0" fontId="13" fillId="16" borderId="3" applyAlignment="1" pivotButton="0" quotePrefix="0" xfId="0">
      <alignment horizontal="center" vertical="center"/>
    </xf>
    <xf numFmtId="0" fontId="4" fillId="16" borderId="3" applyAlignment="1" pivotButton="0" quotePrefix="0" xfId="0">
      <alignment horizontal="left" vertical="center"/>
    </xf>
    <xf numFmtId="0" fontId="4" fillId="16" borderId="3" applyAlignment="1" pivotButton="0" quotePrefix="0" xfId="0">
      <alignment horizontal="center" vertical="center"/>
    </xf>
    <xf numFmtId="0" fontId="7" fillId="17" borderId="3" applyAlignment="1" pivotButton="0" quotePrefix="0" xfId="0">
      <alignment horizontal="left" vertical="center"/>
    </xf>
    <xf numFmtId="0" fontId="4" fillId="17" borderId="3" applyAlignment="1" pivotButton="0" quotePrefix="0" xfId="0">
      <alignment horizontal="center" vertical="center"/>
    </xf>
    <xf numFmtId="0" fontId="11" fillId="17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 vertical="center"/>
    </xf>
    <xf numFmtId="0" fontId="15" fillId="10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left" vertical="center"/>
    </xf>
    <xf numFmtId="0" fontId="16" fillId="13" borderId="3" applyAlignment="1" pivotButton="0" quotePrefix="0" xfId="0">
      <alignment horizontal="center" vertical="center"/>
    </xf>
    <xf numFmtId="0" fontId="15" fillId="13" borderId="3" applyAlignment="1" pivotButton="0" quotePrefix="0" xfId="0">
      <alignment horizontal="center" vertical="center"/>
    </xf>
    <xf numFmtId="0" fontId="13" fillId="16" borderId="3" applyAlignment="1" pivotButton="0" quotePrefix="0" xfId="0">
      <alignment horizontal="left" vertical="center"/>
    </xf>
    <xf numFmtId="0" fontId="17" fillId="16" borderId="3" applyAlignment="1" pivotButton="0" quotePrefix="0" xfId="0">
      <alignment horizontal="center" vertical="center"/>
    </xf>
    <xf numFmtId="0" fontId="15" fillId="16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18" fillId="18" borderId="1" applyAlignment="1" pivotButton="0" quotePrefix="0" xfId="0">
      <alignment horizontal="center" vertical="center"/>
    </xf>
    <xf numFmtId="0" fontId="19" fillId="19" borderId="12" applyAlignment="1" pivotButton="0" quotePrefix="0" xfId="0">
      <alignment horizontal="center" vertical="center"/>
    </xf>
    <xf numFmtId="0" fontId="20" fillId="18" borderId="3" applyAlignment="1" pivotButton="0" quotePrefix="0" xfId="0">
      <alignment horizontal="center" vertical="center"/>
    </xf>
    <xf numFmtId="0" fontId="4" fillId="20" borderId="3" applyAlignment="1" pivotButton="0" quotePrefix="0" xfId="0">
      <alignment horizontal="left" vertical="center"/>
    </xf>
    <xf numFmtId="0" fontId="8" fillId="21" borderId="3" applyAlignment="1" pivotButton="0" quotePrefix="0" xfId="0">
      <alignment horizontal="center" vertical="center"/>
    </xf>
    <xf numFmtId="0" fontId="7" fillId="20" borderId="3" applyAlignment="1" pivotButton="0" quotePrefix="0" xfId="0">
      <alignment horizontal="center" vertical="center"/>
    </xf>
    <xf numFmtId="0" fontId="21" fillId="20" borderId="3" applyAlignment="1" pivotButton="0" quotePrefix="0" xfId="0">
      <alignment horizontal="center" vertical="center"/>
    </xf>
    <xf numFmtId="0" fontId="4" fillId="22" borderId="3" applyAlignment="1" pivotButton="0" quotePrefix="0" xfId="0">
      <alignment horizontal="left" vertical="center"/>
    </xf>
    <xf numFmtId="0" fontId="7" fillId="22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7" fillId="23" borderId="3" applyAlignment="1" pivotButton="0" quotePrefix="0" xfId="0">
      <alignment horizontal="left" vertical="center"/>
    </xf>
    <xf numFmtId="0" fontId="7" fillId="23" borderId="3" applyAlignment="1" pivotButton="0" quotePrefix="0" xfId="0">
      <alignment horizontal="center" vertical="center"/>
    </xf>
    <xf numFmtId="0" fontId="22" fillId="23" borderId="3" applyAlignment="1" pivotButton="0" quotePrefix="0" xfId="0">
      <alignment horizontal="center" vertical="center"/>
    </xf>
    <xf numFmtId="0" fontId="4" fillId="23" borderId="3" applyAlignment="1" pivotButton="0" quotePrefix="0" xfId="0">
      <alignment horizontal="center" vertical="center"/>
    </xf>
    <xf numFmtId="0" fontId="2" fillId="18" borderId="3" applyAlignment="1" pivotButton="0" quotePrefix="0" xfId="0">
      <alignment horizontal="left" vertical="center"/>
    </xf>
    <xf numFmtId="0" fontId="23" fillId="18" borderId="3" applyAlignment="1" pivotButton="0" quotePrefix="0" xfId="0">
      <alignment horizontal="center" vertical="center"/>
    </xf>
    <xf numFmtId="0" fontId="4" fillId="18" borderId="3" applyAlignment="1" pivotButton="0" quotePrefix="0" xfId="0">
      <alignment horizontal="center" vertical="center"/>
    </xf>
    <xf numFmtId="0" fontId="18" fillId="18" borderId="17" applyAlignment="1" pivotButton="0" quotePrefix="0" xfId="0">
      <alignment horizontal="center" vertical="center"/>
    </xf>
    <xf numFmtId="0" fontId="24" fillId="24" borderId="3" applyAlignment="1" pivotButton="0" quotePrefix="0" xfId="0">
      <alignment horizontal="center" vertical="center"/>
    </xf>
    <xf numFmtId="0" fontId="25" fillId="24" borderId="3" applyAlignment="1" pivotButton="0" quotePrefix="0" xfId="0">
      <alignment horizontal="center" vertical="center"/>
    </xf>
    <xf numFmtId="0" fontId="18" fillId="25" borderId="17" applyAlignment="1" pivotButton="0" quotePrefix="0" xfId="0">
      <alignment horizontal="center" vertical="center"/>
    </xf>
    <xf numFmtId="0" fontId="19" fillId="5" borderId="12" applyAlignment="1" pivotButton="0" quotePrefix="0" xfId="0">
      <alignment horizontal="center" vertical="center"/>
    </xf>
    <xf numFmtId="0" fontId="20" fillId="26" borderId="18" applyAlignment="1" pivotButton="0" quotePrefix="0" xfId="0">
      <alignment horizontal="center" vertical="center"/>
    </xf>
    <xf numFmtId="0" fontId="20" fillId="27" borderId="18" applyAlignment="1" pivotButton="0" quotePrefix="0" xfId="0">
      <alignment horizontal="center" vertical="center"/>
    </xf>
    <xf numFmtId="0" fontId="20" fillId="28" borderId="18" applyAlignment="1" pivotButton="0" quotePrefix="0" xfId="0">
      <alignment horizontal="center" vertical="center"/>
    </xf>
    <xf numFmtId="0" fontId="20" fillId="25" borderId="18" applyAlignment="1" pivotButton="0" quotePrefix="0" xfId="0">
      <alignment horizontal="center" vertical="center"/>
    </xf>
    <xf numFmtId="0" fontId="26" fillId="29" borderId="12" applyAlignment="1" pivotButton="0" quotePrefix="0" xfId="0">
      <alignment horizontal="center" vertical="center"/>
    </xf>
    <xf numFmtId="0" fontId="26" fillId="29" borderId="12" applyAlignment="1" pivotButton="0" quotePrefix="0" xfId="0">
      <alignment horizontal="left" vertical="center"/>
    </xf>
    <xf numFmtId="0" fontId="0" fillId="22" borderId="19" applyAlignment="1" pivotButton="0" quotePrefix="0" xfId="0">
      <alignment horizontal="center" vertical="center"/>
    </xf>
    <xf numFmtId="0" fontId="0" fillId="22" borderId="19" applyAlignment="1" pivotButton="0" quotePrefix="0" xfId="0">
      <alignment horizontal="left" vertical="center"/>
    </xf>
    <xf numFmtId="0" fontId="0" fillId="30" borderId="19" applyAlignment="1" pivotButton="0" quotePrefix="0" xfId="0">
      <alignment horizontal="center" vertical="center"/>
    </xf>
    <xf numFmtId="0" fontId="0" fillId="31" borderId="19" applyAlignment="1" pivotButton="0" quotePrefix="0" xfId="0">
      <alignment horizontal="center" vertical="center"/>
    </xf>
    <xf numFmtId="0" fontId="0" fillId="10" borderId="19" applyAlignment="1" pivotButton="0" quotePrefix="0" xfId="0">
      <alignment horizontal="center" vertical="center"/>
    </xf>
    <xf numFmtId="0" fontId="0" fillId="30" borderId="1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5F8A"/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5" customWidth="1" min="5" max="5"/>
  </cols>
  <sheetData>
    <row r="1" ht="38" customHeight="1">
      <c r="A1" s="1" t="inlineStr">
        <is>
          <t>구성품 연동형 재고 관리</t>
        </is>
      </c>
      <c r="B1" s="44" t="n"/>
      <c r="C1" s="44" t="n"/>
      <c r="D1" s="44" t="n"/>
      <c r="E1" s="45" t="n"/>
    </row>
    <row r="2" ht="22" customHeight="1"/>
    <row r="3" ht="26" customHeight="1">
      <c r="A3" s="2" t="inlineStr">
        <is>
          <t>◼  기초 재고 설정  (고정값)</t>
        </is>
      </c>
      <c r="B3" s="46" t="n"/>
      <c r="C3" s="46" t="n"/>
      <c r="D3" s="46" t="n"/>
      <c r="E3" s="47" t="n"/>
    </row>
    <row r="4" ht="22" customHeight="1">
      <c r="A4" s="3" t="inlineStr">
        <is>
          <t>구성품</t>
        </is>
      </c>
      <c r="B4" s="3" t="inlineStr">
        <is>
          <t>기초 재고 (개)</t>
        </is>
      </c>
      <c r="C4" s="3" t="inlineStr"/>
      <c r="D4" s="3" t="inlineStr"/>
      <c r="E4" s="3" t="inlineStr"/>
    </row>
    <row r="5" ht="22" customHeight="1">
      <c r="A5" s="4" t="inlineStr">
        <is>
          <t>티백</t>
        </is>
      </c>
      <c r="B5" s="5" t="n">
        <v>900</v>
      </c>
      <c r="C5" s="6" t="inlineStr"/>
      <c r="D5" s="6" t="inlineStr"/>
      <c r="E5" s="6" t="inlineStr"/>
    </row>
    <row r="6" ht="22" customHeight="1">
      <c r="A6" s="4" t="inlineStr">
        <is>
          <t>잎차</t>
        </is>
      </c>
      <c r="B6" s="5" t="n">
        <v>130</v>
      </c>
      <c r="C6" s="6" t="inlineStr"/>
      <c r="D6" s="6" t="inlineStr"/>
      <c r="E6" s="6" t="inlineStr"/>
    </row>
    <row r="7" ht="22" customHeight="1">
      <c r="A7" s="4" t="inlineStr">
        <is>
          <t>파우더</t>
        </is>
      </c>
      <c r="B7" s="5" t="n">
        <v>130</v>
      </c>
      <c r="C7" s="6" t="inlineStr"/>
      <c r="D7" s="6" t="inlineStr"/>
      <c r="E7" s="6" t="inlineStr"/>
    </row>
    <row r="8" ht="22" customHeight="1"/>
    <row r="9" ht="26" customHeight="1">
      <c r="A9" s="7" t="inlineStr">
        <is>
          <t>◼  기본 풀SET  ·  티백 ×1  +  잎차 ×1  +  파우더 ×1</t>
        </is>
      </c>
      <c r="B9" s="46" t="n"/>
      <c r="C9" s="46" t="n"/>
      <c r="D9" s="46" t="n"/>
      <c r="E9" s="47" t="n"/>
    </row>
    <row r="10" ht="22" customHeight="1">
      <c r="A10" s="8" t="inlineStr">
        <is>
          <t>상품명</t>
        </is>
      </c>
      <c r="B10" s="8" t="inlineStr">
        <is>
          <t>판매 수량</t>
        </is>
      </c>
      <c r="C10" s="8" t="inlineStr">
        <is>
          <t>배수</t>
        </is>
      </c>
      <c r="D10" s="8" t="inlineStr">
        <is>
          <t>차감량 (3종 각)</t>
        </is>
      </c>
      <c r="E10" s="8" t="inlineStr"/>
    </row>
    <row r="11" ht="22" customHeight="1">
      <c r="A11" s="9" t="inlineStr">
        <is>
          <t>기본 풀SET</t>
        </is>
      </c>
      <c r="B11" s="10" t="n">
        <v>0</v>
      </c>
      <c r="C11" s="8" t="inlineStr">
        <is>
          <t>×1</t>
        </is>
      </c>
      <c r="D11" s="11">
        <f>B11</f>
        <v/>
      </c>
      <c r="E11" s="12" t="inlineStr">
        <is>
          <t>각 구성품 1개씩</t>
        </is>
      </c>
    </row>
    <row r="12" ht="22" customHeight="1"/>
    <row r="13" ht="26" customHeight="1">
      <c r="A13" s="13" t="inlineStr">
        <is>
          <t>◼  티백 상품</t>
        </is>
      </c>
      <c r="B13" s="46" t="n"/>
      <c r="C13" s="46" t="n"/>
      <c r="D13" s="46" t="n"/>
      <c r="E13" s="47" t="n"/>
    </row>
    <row r="14" ht="22" customHeight="1">
      <c r="A14" s="14" t="inlineStr">
        <is>
          <t>상품명</t>
        </is>
      </c>
      <c r="B14" s="14" t="inlineStr">
        <is>
          <t>판매 수량</t>
        </is>
      </c>
      <c r="C14" s="14" t="inlineStr">
        <is>
          <t>배수</t>
        </is>
      </c>
      <c r="D14" s="14" t="inlineStr">
        <is>
          <t>티백 차감량</t>
        </is>
      </c>
      <c r="E14" s="14" t="inlineStr"/>
    </row>
    <row r="15" ht="22" customHeight="1">
      <c r="A15" s="15" t="inlineStr">
        <is>
          <t>티백 단품</t>
        </is>
      </c>
      <c r="B15" s="10" t="n">
        <v>0</v>
      </c>
      <c r="C15" s="14" t="inlineStr">
        <is>
          <t>×1</t>
        </is>
      </c>
      <c r="D15" s="16">
        <f>B15*1</f>
        <v/>
      </c>
      <c r="E15" s="16" t="inlineStr"/>
    </row>
    <row r="16" ht="22" customHeight="1">
      <c r="A16" s="15" t="inlineStr">
        <is>
          <t>티백 3개 SET</t>
        </is>
      </c>
      <c r="B16" s="10" t="n">
        <v>0</v>
      </c>
      <c r="C16" s="14" t="inlineStr">
        <is>
          <t>×3</t>
        </is>
      </c>
      <c r="D16" s="16">
        <f>B16*3</f>
        <v/>
      </c>
      <c r="E16" s="16" t="inlineStr"/>
    </row>
    <row r="17" ht="22" customHeight="1">
      <c r="A17" s="15" t="inlineStr">
        <is>
          <t>티백 6개 SET</t>
        </is>
      </c>
      <c r="B17" s="10" t="n">
        <v>0</v>
      </c>
      <c r="C17" s="14" t="inlineStr">
        <is>
          <t>×6</t>
        </is>
      </c>
      <c r="D17" s="16">
        <f>B17*6</f>
        <v/>
      </c>
      <c r="E17" s="16" t="inlineStr"/>
    </row>
    <row r="18" ht="25" customHeight="1">
      <c r="A18" s="17" t="inlineStr">
        <is>
          <t>소계 (풀SET 포함)</t>
        </is>
      </c>
      <c r="B18" s="18" t="inlineStr"/>
      <c r="C18" s="18" t="inlineStr"/>
      <c r="D18" s="19">
        <f>SUM(D15:D17)+D11</f>
        <v/>
      </c>
      <c r="E18" s="18" t="inlineStr"/>
    </row>
    <row r="19" ht="22" customHeight="1"/>
    <row r="20" ht="26" customHeight="1">
      <c r="A20" s="20" t="inlineStr">
        <is>
          <t>◼  잎차 상품</t>
        </is>
      </c>
      <c r="B20" s="46" t="n"/>
      <c r="C20" s="46" t="n"/>
      <c r="D20" s="46" t="n"/>
      <c r="E20" s="47" t="n"/>
    </row>
    <row r="21" ht="22" customHeight="1">
      <c r="A21" s="21" t="inlineStr">
        <is>
          <t>상품명</t>
        </is>
      </c>
      <c r="B21" s="21" t="inlineStr">
        <is>
          <t>판매 수량</t>
        </is>
      </c>
      <c r="C21" s="21" t="inlineStr">
        <is>
          <t>배수</t>
        </is>
      </c>
      <c r="D21" s="21" t="inlineStr">
        <is>
          <t>잎차 차감량</t>
        </is>
      </c>
      <c r="E21" s="21" t="inlineStr"/>
    </row>
    <row r="22" ht="22" customHeight="1">
      <c r="A22" s="22" t="inlineStr">
        <is>
          <t>잎차 단품</t>
        </is>
      </c>
      <c r="B22" s="10" t="n">
        <v>0</v>
      </c>
      <c r="C22" s="21" t="inlineStr">
        <is>
          <t>×1</t>
        </is>
      </c>
      <c r="D22" s="23">
        <f>B22*1</f>
        <v/>
      </c>
      <c r="E22" s="23" t="inlineStr"/>
    </row>
    <row r="23" ht="22" customHeight="1">
      <c r="A23" s="22" t="inlineStr">
        <is>
          <t>잎차 3개 SET</t>
        </is>
      </c>
      <c r="B23" s="10" t="n">
        <v>0</v>
      </c>
      <c r="C23" s="21" t="inlineStr">
        <is>
          <t>×3</t>
        </is>
      </c>
      <c r="D23" s="23">
        <f>B23*3</f>
        <v/>
      </c>
      <c r="E23" s="23" t="inlineStr"/>
    </row>
    <row r="24" ht="22" customHeight="1">
      <c r="A24" s="22" t="inlineStr">
        <is>
          <t>잎차 6개 SET</t>
        </is>
      </c>
      <c r="B24" s="10" t="n">
        <v>0</v>
      </c>
      <c r="C24" s="21" t="inlineStr">
        <is>
          <t>×6</t>
        </is>
      </c>
      <c r="D24" s="23">
        <f>B24*6</f>
        <v/>
      </c>
      <c r="E24" s="23" t="inlineStr"/>
    </row>
    <row r="25" ht="25" customHeight="1">
      <c r="A25" s="24" t="inlineStr">
        <is>
          <t>소계 (풀SET 포함)</t>
        </is>
      </c>
      <c r="B25" s="25" t="inlineStr"/>
      <c r="C25" s="25" t="inlineStr"/>
      <c r="D25" s="26">
        <f>SUM(D22:D24)+D11</f>
        <v/>
      </c>
      <c r="E25" s="25" t="inlineStr"/>
    </row>
    <row r="26" ht="22" customHeight="1"/>
    <row r="27" ht="26" customHeight="1">
      <c r="A27" s="27" t="inlineStr">
        <is>
          <t>◼  파우더 상품</t>
        </is>
      </c>
      <c r="B27" s="46" t="n"/>
      <c r="C27" s="46" t="n"/>
      <c r="D27" s="46" t="n"/>
      <c r="E27" s="47" t="n"/>
    </row>
    <row r="28" ht="22" customHeight="1">
      <c r="A28" s="28" t="inlineStr">
        <is>
          <t>상품명</t>
        </is>
      </c>
      <c r="B28" s="28" t="inlineStr">
        <is>
          <t>판매 수량</t>
        </is>
      </c>
      <c r="C28" s="28" t="inlineStr">
        <is>
          <t>배수</t>
        </is>
      </c>
      <c r="D28" s="28" t="inlineStr">
        <is>
          <t>파우더 차감량</t>
        </is>
      </c>
      <c r="E28" s="28" t="inlineStr"/>
    </row>
    <row r="29" ht="22" customHeight="1">
      <c r="A29" s="29" t="inlineStr">
        <is>
          <t>파우더 단품</t>
        </is>
      </c>
      <c r="B29" s="10" t="n">
        <v>0</v>
      </c>
      <c r="C29" s="28" t="inlineStr">
        <is>
          <t>×1</t>
        </is>
      </c>
      <c r="D29" s="30">
        <f>B29*1</f>
        <v/>
      </c>
      <c r="E29" s="30" t="inlineStr"/>
    </row>
    <row r="30" ht="22" customHeight="1">
      <c r="A30" s="29" t="inlineStr">
        <is>
          <t>파우더 3개 SET</t>
        </is>
      </c>
      <c r="B30" s="10" t="n">
        <v>0</v>
      </c>
      <c r="C30" s="28" t="inlineStr">
        <is>
          <t>×3</t>
        </is>
      </c>
      <c r="D30" s="30">
        <f>B30*3</f>
        <v/>
      </c>
      <c r="E30" s="30" t="inlineStr"/>
    </row>
    <row r="31" ht="22" customHeight="1">
      <c r="A31" s="29" t="inlineStr">
        <is>
          <t>파우더 6개 SET</t>
        </is>
      </c>
      <c r="B31" s="10" t="n">
        <v>0</v>
      </c>
      <c r="C31" s="28" t="inlineStr">
        <is>
          <t>×6</t>
        </is>
      </c>
      <c r="D31" s="30">
        <f>B31*6</f>
        <v/>
      </c>
      <c r="E31" s="30" t="inlineStr"/>
    </row>
    <row r="32" ht="25" customHeight="1">
      <c r="A32" s="31" t="inlineStr">
        <is>
          <t>소계 (풀SET 포함)</t>
        </is>
      </c>
      <c r="B32" s="32" t="inlineStr"/>
      <c r="C32" s="32" t="inlineStr"/>
      <c r="D32" s="33">
        <f>SUM(D29:D31)+D11</f>
        <v/>
      </c>
      <c r="E32" s="32" t="inlineStr"/>
    </row>
    <row r="33" ht="22" customHeight="1"/>
    <row r="34" ht="26" customHeight="1">
      <c r="A34" s="2" t="inlineStr">
        <is>
          <t>◼  현재 재고 현황  (자동 계산)</t>
        </is>
      </c>
      <c r="B34" s="46" t="n"/>
      <c r="C34" s="46" t="n"/>
      <c r="D34" s="46" t="n"/>
      <c r="E34" s="47" t="n"/>
    </row>
    <row r="35" ht="22" customHeight="1">
      <c r="A35" s="3" t="inlineStr">
        <is>
          <t>구성품</t>
        </is>
      </c>
      <c r="B35" s="3" t="inlineStr">
        <is>
          <t>기초 재고</t>
        </is>
      </c>
      <c r="C35" s="3" t="inlineStr">
        <is>
          <t>총 차감량</t>
        </is>
      </c>
      <c r="D35" s="3" t="inlineStr">
        <is>
          <t>현재 재고</t>
        </is>
      </c>
      <c r="E35" s="3" t="inlineStr">
        <is>
          <t>재고 상태</t>
        </is>
      </c>
    </row>
    <row r="36" ht="28" customHeight="1">
      <c r="A36" s="34" t="inlineStr">
        <is>
          <t>티백</t>
        </is>
      </c>
      <c r="B36" s="35">
        <f>B5</f>
        <v/>
      </c>
      <c r="C36" s="35">
        <f>D18</f>
        <v/>
      </c>
      <c r="D36" s="36">
        <f>B36-C36</f>
        <v/>
      </c>
      <c r="E36" s="37">
        <f>IF(D36&lt;=0,"⛔ 재고 없음",IF(D36&lt;=20,"⚠ 재고 부족","✅ 정상"))</f>
        <v/>
      </c>
    </row>
    <row r="37" ht="28" customHeight="1">
      <c r="A37" s="38" t="inlineStr">
        <is>
          <t>잎차</t>
        </is>
      </c>
      <c r="B37" s="35">
        <f>B6</f>
        <v/>
      </c>
      <c r="C37" s="35">
        <f>D25</f>
        <v/>
      </c>
      <c r="D37" s="39">
        <f>B37-C37</f>
        <v/>
      </c>
      <c r="E37" s="40">
        <f>IF(D37&lt;=0,"⛔ 재고 없음",IF(D37&lt;=20,"⚠ 재고 부족","✅ 정상"))</f>
        <v/>
      </c>
    </row>
    <row r="38" ht="28" customHeight="1">
      <c r="A38" s="41" t="inlineStr">
        <is>
          <t>파우더</t>
        </is>
      </c>
      <c r="B38" s="35">
        <f>B7</f>
        <v/>
      </c>
      <c r="C38" s="35">
        <f>D32</f>
        <v/>
      </c>
      <c r="D38" s="42">
        <f>B38-C38</f>
        <v/>
      </c>
      <c r="E38" s="43">
        <f>IF(D38&lt;=0,"⛔ 재고 없음",IF(D38&lt;=20,"⚠ 재고 부족","✅ 정상"))</f>
        <v/>
      </c>
    </row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7">
    <mergeCell ref="A34:E34"/>
    <mergeCell ref="A20:E20"/>
    <mergeCell ref="A1:E1"/>
    <mergeCell ref="A13:E13"/>
    <mergeCell ref="A9:E9"/>
    <mergeCell ref="A27:E2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6741"/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2" customWidth="1" min="5" max="5"/>
    <col width="15" customWidth="1" min="6" max="6"/>
  </cols>
  <sheetData>
    <row r="1" ht="36" customHeight="1">
      <c r="A1" s="65" t="inlineStr">
        <is>
          <t>쇼핑백 재고 관리</t>
        </is>
      </c>
    </row>
    <row r="2" ht="22" customHeight="1">
      <c r="A2" s="49" t="inlineStr">
        <is>
          <t>사용 수량(노란칸) 입력 · 재고 이동은 [이동 로그] 시트에 기록 → 이동 증감 자동 반영</t>
        </is>
      </c>
    </row>
    <row r="3" ht="24" customHeight="1">
      <c r="A3" s="50" t="inlineStr">
        <is>
          <t>상품명</t>
        </is>
      </c>
      <c r="B3" s="50" t="inlineStr">
        <is>
          <t>기초 재고</t>
        </is>
      </c>
      <c r="C3" s="50" t="inlineStr">
        <is>
          <t>사용 수량</t>
        </is>
      </c>
      <c r="D3" s="66" t="inlineStr">
        <is>
          <t>이동 증감</t>
        </is>
      </c>
      <c r="E3" s="50" t="inlineStr">
        <is>
          <t>남은 수량</t>
        </is>
      </c>
      <c r="F3" s="50" t="inlineStr">
        <is>
          <t>재고 상태</t>
        </is>
      </c>
    </row>
    <row r="4" ht="22" customHeight="1">
      <c r="A4" s="51" t="inlineStr">
        <is>
          <t>티백 단품</t>
        </is>
      </c>
      <c r="B4" s="52" t="n">
        <v>20</v>
      </c>
      <c r="C4" s="10" t="n">
        <v>0</v>
      </c>
      <c r="D4" s="67">
        <f>SUMIF('이동 로그'!$C:$C,A4,'이동 로그'!$D:$D)-SUMIF('이동 로그'!$B:$B,A4,'이동 로그'!$D:$D)</f>
        <v/>
      </c>
      <c r="E4" s="53">
        <f>B4-C4+D4</f>
        <v/>
      </c>
      <c r="F4" s="54">
        <f>IF(E4&lt;=0,"⛔ 없음",IF(E4&lt;=10,"⚠ 부족","✅ 정상"))</f>
        <v/>
      </c>
    </row>
    <row r="5" ht="22" customHeight="1">
      <c r="A5" s="55" t="inlineStr">
        <is>
          <t>잎차 단품</t>
        </is>
      </c>
      <c r="B5" s="52" t="n">
        <v>20</v>
      </c>
      <c r="C5" s="10" t="n">
        <v>0</v>
      </c>
      <c r="D5" s="67">
        <f>SUMIF('이동 로그'!$C:$C,A5,'이동 로그'!$D:$D)-SUMIF('이동 로그'!$B:$B,A5,'이동 로그'!$D:$D)</f>
        <v/>
      </c>
      <c r="E5" s="56">
        <f>B5-C5+D5</f>
        <v/>
      </c>
      <c r="F5" s="57">
        <f>IF(E5&lt;=0,"⛔ 없음",IF(E5&lt;=10,"⚠ 부족","✅ 정상"))</f>
        <v/>
      </c>
    </row>
    <row r="6" ht="22" customHeight="1">
      <c r="A6" s="51" t="inlineStr">
        <is>
          <t>파우더 단품</t>
        </is>
      </c>
      <c r="B6" s="52" t="n">
        <v>20</v>
      </c>
      <c r="C6" s="10" t="n">
        <v>0</v>
      </c>
      <c r="D6" s="67">
        <f>SUMIF('이동 로그'!$C:$C,A6,'이동 로그'!$D:$D)-SUMIF('이동 로그'!$B:$B,A6,'이동 로그'!$D:$D)</f>
        <v/>
      </c>
      <c r="E6" s="53">
        <f>B6-C6+D6</f>
        <v/>
      </c>
      <c r="F6" s="54">
        <f>IF(E6&lt;=0,"⛔ 없음",IF(E6&lt;=10,"⚠ 부족","✅ 정상"))</f>
        <v/>
      </c>
    </row>
    <row r="7" ht="25" customHeight="1">
      <c r="A7" s="58" t="inlineStr">
        <is>
          <t>단품 소계</t>
        </is>
      </c>
      <c r="B7" s="59">
        <f>SUM(B4:B6)</f>
        <v/>
      </c>
      <c r="C7" s="59">
        <f>SUM(C4:C6)</f>
        <v/>
      </c>
      <c r="D7" s="59">
        <f>SUM(D4:D6)</f>
        <v/>
      </c>
      <c r="E7" s="60">
        <f>SUM(E4:E6)</f>
        <v/>
      </c>
      <c r="F7" s="61" t="inlineStr"/>
    </row>
    <row r="8" ht="22" customHeight="1"/>
    <row r="9" ht="22" customHeight="1">
      <c r="A9" s="51" t="inlineStr">
        <is>
          <t>티백 3개 SET</t>
        </is>
      </c>
      <c r="B9" s="52" t="n">
        <v>100</v>
      </c>
      <c r="C9" s="10" t="n">
        <v>0</v>
      </c>
      <c r="D9" s="67">
        <f>SUMIF('이동 로그'!$C:$C,A9,'이동 로그'!$D:$D)-SUMIF('이동 로그'!$B:$B,A9,'이동 로그'!$D:$D)</f>
        <v/>
      </c>
      <c r="E9" s="53">
        <f>B9-C9+D9</f>
        <v/>
      </c>
      <c r="F9" s="54">
        <f>IF(E9&lt;=0,"⛔ 없음",IF(E9&lt;=10,"⚠ 부족","✅ 정상"))</f>
        <v/>
      </c>
    </row>
    <row r="10" ht="22" customHeight="1">
      <c r="A10" s="55" t="inlineStr">
        <is>
          <t>잎차 3개 SET</t>
        </is>
      </c>
      <c r="B10" s="52" t="n">
        <v>20</v>
      </c>
      <c r="C10" s="10" t="n">
        <v>0</v>
      </c>
      <c r="D10" s="67">
        <f>SUMIF('이동 로그'!$C:$C,A10,'이동 로그'!$D:$D)-SUMIF('이동 로그'!$B:$B,A10,'이동 로그'!$D:$D)</f>
        <v/>
      </c>
      <c r="E10" s="56">
        <f>B10-C10+D10</f>
        <v/>
      </c>
      <c r="F10" s="57">
        <f>IF(E10&lt;=0,"⛔ 없음",IF(E10&lt;=10,"⚠ 부족","✅ 정상"))</f>
        <v/>
      </c>
    </row>
    <row r="11" ht="22" customHeight="1">
      <c r="A11" s="51" t="inlineStr">
        <is>
          <t>파우더 3개 SET</t>
        </is>
      </c>
      <c r="B11" s="52" t="n">
        <v>20</v>
      </c>
      <c r="C11" s="10" t="n">
        <v>0</v>
      </c>
      <c r="D11" s="67">
        <f>SUMIF('이동 로그'!$C:$C,A11,'이동 로그'!$D:$D)-SUMIF('이동 로그'!$B:$B,A11,'이동 로그'!$D:$D)</f>
        <v/>
      </c>
      <c r="E11" s="53">
        <f>B11-C11+D11</f>
        <v/>
      </c>
      <c r="F11" s="54">
        <f>IF(E11&lt;=0,"⛔ 없음",IF(E11&lt;=10,"⚠ 부족","✅ 정상"))</f>
        <v/>
      </c>
    </row>
    <row r="12" ht="25" customHeight="1">
      <c r="A12" s="58" t="inlineStr">
        <is>
          <t>3개 SET 소계</t>
        </is>
      </c>
      <c r="B12" s="59">
        <f>SUM(B9:B11)</f>
        <v/>
      </c>
      <c r="C12" s="59">
        <f>SUM(C9:C11)</f>
        <v/>
      </c>
      <c r="D12" s="59">
        <f>SUM(D9:D11)</f>
        <v/>
      </c>
      <c r="E12" s="60">
        <f>SUM(E9:E11)</f>
        <v/>
      </c>
      <c r="F12" s="61" t="inlineStr"/>
    </row>
    <row r="13" ht="22" customHeight="1"/>
    <row r="14" ht="22" customHeight="1">
      <c r="A14" s="51" t="inlineStr">
        <is>
          <t>티백 6개 SET</t>
        </is>
      </c>
      <c r="B14" s="52" t="n">
        <v>80</v>
      </c>
      <c r="C14" s="10" t="n">
        <v>0</v>
      </c>
      <c r="D14" s="67">
        <f>SUMIF('이동 로그'!$C:$C,A14,'이동 로그'!$D:$D)-SUMIF('이동 로그'!$B:$B,A14,'이동 로그'!$D:$D)</f>
        <v/>
      </c>
      <c r="E14" s="53">
        <f>B14-C14+D14</f>
        <v/>
      </c>
      <c r="F14" s="54">
        <f>IF(E14&lt;=0,"⛔ 없음",IF(E14&lt;=10,"⚠ 부족","✅ 정상"))</f>
        <v/>
      </c>
    </row>
    <row r="15" ht="22" customHeight="1">
      <c r="A15" s="55" t="inlineStr">
        <is>
          <t>잎차 6개 SET</t>
        </is>
      </c>
      <c r="B15" s="52" t="n">
        <v>20</v>
      </c>
      <c r="C15" s="10" t="n">
        <v>0</v>
      </c>
      <c r="D15" s="67">
        <f>SUMIF('이동 로그'!$C:$C,A15,'이동 로그'!$D:$D)-SUMIF('이동 로그'!$B:$B,A15,'이동 로그'!$D:$D)</f>
        <v/>
      </c>
      <c r="E15" s="56">
        <f>B15-C15+D15</f>
        <v/>
      </c>
      <c r="F15" s="57">
        <f>IF(E15&lt;=0,"⛔ 없음",IF(E15&lt;=10,"⚠ 부족","✅ 정상"))</f>
        <v/>
      </c>
    </row>
    <row r="16" ht="22" customHeight="1">
      <c r="A16" s="51" t="inlineStr">
        <is>
          <t>파우더 6개 SET</t>
        </is>
      </c>
      <c r="B16" s="52" t="n">
        <v>20</v>
      </c>
      <c r="C16" s="10" t="n">
        <v>0</v>
      </c>
      <c r="D16" s="67">
        <f>SUMIF('이동 로그'!$C:$C,A16,'이동 로그'!$D:$D)-SUMIF('이동 로그'!$B:$B,A16,'이동 로그'!$D:$D)</f>
        <v/>
      </c>
      <c r="E16" s="53">
        <f>B16-C16+D16</f>
        <v/>
      </c>
      <c r="F16" s="54">
        <f>IF(E16&lt;=0,"⛔ 없음",IF(E16&lt;=10,"⚠ 부족","✅ 정상"))</f>
        <v/>
      </c>
    </row>
    <row r="17" ht="25" customHeight="1">
      <c r="A17" s="58" t="inlineStr">
        <is>
          <t>6개 SET 소계</t>
        </is>
      </c>
      <c r="B17" s="59">
        <f>SUM(B14:B16)</f>
        <v/>
      </c>
      <c r="C17" s="59">
        <f>SUM(C14:C16)</f>
        <v/>
      </c>
      <c r="D17" s="59">
        <f>SUM(D14:D16)</f>
        <v/>
      </c>
      <c r="E17" s="60">
        <f>SUM(E14:E16)</f>
        <v/>
      </c>
      <c r="F17" s="61" t="inlineStr"/>
    </row>
    <row r="18" ht="22" customHeight="1"/>
    <row r="19" ht="28" customHeight="1">
      <c r="A19" s="62" t="inlineStr">
        <is>
          <t>전체 합계</t>
        </is>
      </c>
      <c r="B19" s="63">
        <f>B7+B12+B17</f>
        <v/>
      </c>
      <c r="C19" s="63">
        <f>C7+C12+C17</f>
        <v/>
      </c>
      <c r="D19" s="63">
        <f>D7+D12+D17</f>
        <v/>
      </c>
      <c r="E19" s="63">
        <f>E7+E12+E17</f>
        <v/>
      </c>
      <c r="F19" s="64" t="inlineStr"/>
    </row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53935"/>
    <outlinePr summaryBelow="1" summaryRight="1"/>
    <pageSetUpPr/>
  </sheetPr>
  <dimension ref="A1:E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0" customWidth="1" min="4" max="4"/>
    <col width="30" customWidth="1" min="5" max="5"/>
  </cols>
  <sheetData>
    <row r="1" ht="36" customHeight="1">
      <c r="A1" s="68" t="inlineStr">
        <is>
          <t>쇼핑백 재고 이동 로그</t>
        </is>
      </c>
    </row>
    <row r="2" ht="22" customHeight="1">
      <c r="A2" s="69" t="inlineStr">
        <is>
          <t>출발지·도착지 드롭다운 선택 → 수량 입력 → [쇼핑백 재고] 시트에 자동 반영</t>
        </is>
      </c>
    </row>
    <row r="3" ht="26" customHeight="1">
      <c r="A3" s="70" t="inlineStr">
        <is>
          <t>날짜</t>
        </is>
      </c>
      <c r="B3" s="71" t="inlineStr">
        <is>
          <t>출발지 (FROM)</t>
        </is>
      </c>
      <c r="C3" s="72" t="inlineStr">
        <is>
          <t>도착지 (TO)</t>
        </is>
      </c>
      <c r="D3" s="73" t="inlineStr">
        <is>
          <t>수량 (개)</t>
        </is>
      </c>
      <c r="E3" s="70" t="inlineStr">
        <is>
          <t>메모 / 이동 사유</t>
        </is>
      </c>
    </row>
    <row r="4" ht="22" customHeight="1">
      <c r="A4" s="74" t="inlineStr">
        <is>
          <t>2026-05-06</t>
        </is>
      </c>
      <c r="B4" s="74" t="inlineStr">
        <is>
          <t>티백 단품</t>
        </is>
      </c>
      <c r="C4" s="74" t="inlineStr">
        <is>
          <t>티백 6개 SET</t>
        </is>
      </c>
      <c r="D4" s="74" t="n">
        <v>30</v>
      </c>
      <c r="E4" s="75" t="inlineStr">
        <is>
          <t>6개 SET 소진 빠름 → 단품에서 이동</t>
        </is>
      </c>
    </row>
    <row r="5" ht="22" customHeight="1">
      <c r="A5" s="76" t="n"/>
      <c r="B5" s="76" t="n"/>
      <c r="C5" s="76" t="n"/>
      <c r="D5" s="76" t="n"/>
      <c r="E5" s="77" t="n"/>
    </row>
    <row r="6" ht="22" customHeight="1">
      <c r="A6" s="78" t="n"/>
      <c r="B6" s="79" t="n"/>
      <c r="C6" s="80" t="n"/>
      <c r="D6" s="78" t="n"/>
      <c r="E6" s="81" t="n"/>
    </row>
    <row r="7" ht="22" customHeight="1">
      <c r="A7" s="76" t="n"/>
      <c r="B7" s="76" t="n"/>
      <c r="C7" s="76" t="n"/>
      <c r="D7" s="76" t="n"/>
      <c r="E7" s="77" t="n"/>
    </row>
    <row r="8" ht="22" customHeight="1">
      <c r="A8" s="78" t="n"/>
      <c r="B8" s="79" t="n"/>
      <c r="C8" s="80" t="n"/>
      <c r="D8" s="78" t="n"/>
      <c r="E8" s="81" t="n"/>
    </row>
    <row r="9" ht="22" customHeight="1">
      <c r="A9" s="76" t="n"/>
      <c r="B9" s="76" t="n"/>
      <c r="C9" s="76" t="n"/>
      <c r="D9" s="76" t="n"/>
      <c r="E9" s="77" t="n"/>
    </row>
    <row r="10" ht="22" customHeight="1">
      <c r="A10" s="78" t="n"/>
      <c r="B10" s="79" t="n"/>
      <c r="C10" s="80" t="n"/>
      <c r="D10" s="78" t="n"/>
      <c r="E10" s="81" t="n"/>
    </row>
    <row r="11" ht="22" customHeight="1">
      <c r="A11" s="76" t="n"/>
      <c r="B11" s="76" t="n"/>
      <c r="C11" s="76" t="n"/>
      <c r="D11" s="76" t="n"/>
      <c r="E11" s="77" t="n"/>
    </row>
    <row r="12" ht="22" customHeight="1">
      <c r="A12" s="78" t="n"/>
      <c r="B12" s="79" t="n"/>
      <c r="C12" s="80" t="n"/>
      <c r="D12" s="78" t="n"/>
      <c r="E12" s="81" t="n"/>
    </row>
    <row r="13" ht="22" customHeight="1">
      <c r="A13" s="76" t="n"/>
      <c r="B13" s="76" t="n"/>
      <c r="C13" s="76" t="n"/>
      <c r="D13" s="76" t="n"/>
      <c r="E13" s="77" t="n"/>
    </row>
    <row r="14" ht="22" customHeight="1">
      <c r="A14" s="78" t="n"/>
      <c r="B14" s="79" t="n"/>
      <c r="C14" s="80" t="n"/>
      <c r="D14" s="78" t="n"/>
      <c r="E14" s="81" t="n"/>
    </row>
    <row r="15" ht="22" customHeight="1">
      <c r="A15" s="76" t="n"/>
      <c r="B15" s="76" t="n"/>
      <c r="C15" s="76" t="n"/>
      <c r="D15" s="76" t="n"/>
      <c r="E15" s="77" t="n"/>
    </row>
    <row r="16" ht="22" customHeight="1">
      <c r="A16" s="78" t="n"/>
      <c r="B16" s="79" t="n"/>
      <c r="C16" s="80" t="n"/>
      <c r="D16" s="78" t="n"/>
      <c r="E16" s="81" t="n"/>
    </row>
    <row r="17" ht="22" customHeight="1">
      <c r="A17" s="76" t="n"/>
      <c r="B17" s="76" t="n"/>
      <c r="C17" s="76" t="n"/>
      <c r="D17" s="76" t="n"/>
      <c r="E17" s="77" t="n"/>
    </row>
    <row r="18" ht="22" customHeight="1">
      <c r="A18" s="78" t="n"/>
      <c r="B18" s="79" t="n"/>
      <c r="C18" s="80" t="n"/>
      <c r="D18" s="78" t="n"/>
      <c r="E18" s="81" t="n"/>
    </row>
    <row r="19" ht="22" customHeight="1">
      <c r="A19" s="76" t="n"/>
      <c r="B19" s="76" t="n"/>
      <c r="C19" s="76" t="n"/>
      <c r="D19" s="76" t="n"/>
      <c r="E19" s="77" t="n"/>
    </row>
    <row r="20" ht="22" customHeight="1">
      <c r="A20" s="78" t="n"/>
      <c r="B20" s="79" t="n"/>
      <c r="C20" s="80" t="n"/>
      <c r="D20" s="78" t="n"/>
      <c r="E20" s="81" t="n"/>
    </row>
    <row r="21" ht="22" customHeight="1">
      <c r="A21" s="76" t="n"/>
      <c r="B21" s="76" t="n"/>
      <c r="C21" s="76" t="n"/>
      <c r="D21" s="76" t="n"/>
      <c r="E21" s="77" t="n"/>
    </row>
    <row r="22" ht="22" customHeight="1">
      <c r="A22" s="78" t="n"/>
      <c r="B22" s="79" t="n"/>
      <c r="C22" s="80" t="n"/>
      <c r="D22" s="78" t="n"/>
      <c r="E22" s="81" t="n"/>
    </row>
    <row r="23" ht="22" customHeight="1">
      <c r="A23" s="76" t="n"/>
      <c r="B23" s="76" t="n"/>
      <c r="C23" s="76" t="n"/>
      <c r="D23" s="76" t="n"/>
      <c r="E23" s="77" t="n"/>
    </row>
    <row r="24" ht="22" customHeight="1">
      <c r="A24" s="78" t="n"/>
      <c r="B24" s="79" t="n"/>
      <c r="C24" s="80" t="n"/>
      <c r="D24" s="78" t="n"/>
      <c r="E24" s="81" t="n"/>
    </row>
    <row r="25" ht="22" customHeight="1">
      <c r="A25" s="76" t="n"/>
      <c r="B25" s="76" t="n"/>
      <c r="C25" s="76" t="n"/>
      <c r="D25" s="76" t="n"/>
      <c r="E25" s="77" t="n"/>
    </row>
    <row r="26" ht="22" customHeight="1">
      <c r="A26" s="78" t="n"/>
      <c r="B26" s="79" t="n"/>
      <c r="C26" s="80" t="n"/>
      <c r="D26" s="78" t="n"/>
      <c r="E26" s="81" t="n"/>
    </row>
    <row r="27" ht="22" customHeight="1">
      <c r="A27" s="76" t="n"/>
      <c r="B27" s="76" t="n"/>
      <c r="C27" s="76" t="n"/>
      <c r="D27" s="76" t="n"/>
      <c r="E27" s="77" t="n"/>
    </row>
    <row r="28" ht="22" customHeight="1">
      <c r="A28" s="78" t="n"/>
      <c r="B28" s="79" t="n"/>
      <c r="C28" s="80" t="n"/>
      <c r="D28" s="78" t="n"/>
      <c r="E28" s="81" t="n"/>
    </row>
    <row r="29" ht="22" customHeight="1">
      <c r="A29" s="76" t="n"/>
      <c r="B29" s="76" t="n"/>
      <c r="C29" s="76" t="n"/>
      <c r="D29" s="76" t="n"/>
      <c r="E29" s="77" t="n"/>
    </row>
    <row r="30" ht="22" customHeight="1">
      <c r="A30" s="78" t="n"/>
      <c r="B30" s="79" t="n"/>
      <c r="C30" s="80" t="n"/>
      <c r="D30" s="78" t="n"/>
      <c r="E30" s="81" t="n"/>
    </row>
    <row r="31" ht="22" customHeight="1">
      <c r="A31" s="76" t="n"/>
      <c r="B31" s="76" t="n"/>
      <c r="C31" s="76" t="n"/>
      <c r="D31" s="76" t="n"/>
      <c r="E31" s="77" t="n"/>
    </row>
    <row r="32" ht="22" customHeight="1">
      <c r="A32" s="78" t="n"/>
      <c r="B32" s="79" t="n"/>
      <c r="C32" s="80" t="n"/>
      <c r="D32" s="78" t="n"/>
      <c r="E32" s="81" t="n"/>
    </row>
    <row r="33" ht="22" customHeight="1">
      <c r="A33" s="76" t="n"/>
      <c r="B33" s="76" t="n"/>
      <c r="C33" s="76" t="n"/>
      <c r="D33" s="76" t="n"/>
      <c r="E33" s="77" t="n"/>
    </row>
    <row r="34" ht="22" customHeight="1">
      <c r="A34" s="78" t="n"/>
      <c r="B34" s="79" t="n"/>
      <c r="C34" s="80" t="n"/>
      <c r="D34" s="78" t="n"/>
      <c r="E34" s="81" t="n"/>
    </row>
    <row r="35" ht="22" customHeight="1">
      <c r="A35" s="76" t="n"/>
      <c r="B35" s="76" t="n"/>
      <c r="C35" s="76" t="n"/>
      <c r="D35" s="76" t="n"/>
      <c r="E35" s="77" t="n"/>
    </row>
    <row r="36" ht="22" customHeight="1">
      <c r="A36" s="78" t="n"/>
      <c r="B36" s="79" t="n"/>
      <c r="C36" s="80" t="n"/>
      <c r="D36" s="78" t="n"/>
      <c r="E36" s="81" t="n"/>
    </row>
    <row r="37" ht="22" customHeight="1">
      <c r="A37" s="76" t="n"/>
      <c r="B37" s="76" t="n"/>
      <c r="C37" s="76" t="n"/>
      <c r="D37" s="76" t="n"/>
      <c r="E37" s="77" t="n"/>
    </row>
    <row r="38" ht="22" customHeight="1">
      <c r="A38" s="78" t="n"/>
      <c r="B38" s="79" t="n"/>
      <c r="C38" s="80" t="n"/>
      <c r="D38" s="78" t="n"/>
      <c r="E38" s="81" t="n"/>
    </row>
    <row r="39" ht="22" customHeight="1">
      <c r="A39" s="76" t="n"/>
      <c r="B39" s="76" t="n"/>
      <c r="C39" s="76" t="n"/>
      <c r="D39" s="76" t="n"/>
      <c r="E39" s="77" t="n"/>
    </row>
    <row r="40" ht="22" customHeight="1">
      <c r="A40" s="78" t="n"/>
      <c r="B40" s="79" t="n"/>
      <c r="C40" s="80" t="n"/>
      <c r="D40" s="78" t="n"/>
      <c r="E40" s="81" t="n"/>
    </row>
    <row r="41" ht="22" customHeight="1">
      <c r="A41" s="76" t="n"/>
      <c r="B41" s="76" t="n"/>
      <c r="C41" s="76" t="n"/>
      <c r="D41" s="76" t="n"/>
      <c r="E41" s="77" t="n"/>
    </row>
    <row r="42" ht="22" customHeight="1">
      <c r="A42" s="78" t="n"/>
      <c r="B42" s="79" t="n"/>
      <c r="C42" s="80" t="n"/>
      <c r="D42" s="78" t="n"/>
      <c r="E42" s="81" t="n"/>
    </row>
    <row r="43" ht="22" customHeight="1">
      <c r="A43" s="76" t="n"/>
      <c r="B43" s="76" t="n"/>
      <c r="C43" s="76" t="n"/>
      <c r="D43" s="76" t="n"/>
      <c r="E43" s="77" t="n"/>
    </row>
    <row r="44" ht="22" customHeight="1">
      <c r="A44" s="78" t="n"/>
      <c r="B44" s="79" t="n"/>
      <c r="C44" s="80" t="n"/>
      <c r="D44" s="78" t="n"/>
      <c r="E44" s="81" t="n"/>
    </row>
    <row r="45" ht="22" customHeight="1">
      <c r="A45" s="76" t="n"/>
      <c r="B45" s="76" t="n"/>
      <c r="C45" s="76" t="n"/>
      <c r="D45" s="76" t="n"/>
      <c r="E45" s="77" t="n"/>
    </row>
    <row r="46" ht="22" customHeight="1">
      <c r="A46" s="78" t="n"/>
      <c r="B46" s="79" t="n"/>
      <c r="C46" s="80" t="n"/>
      <c r="D46" s="78" t="n"/>
      <c r="E46" s="81" t="n"/>
    </row>
    <row r="47" ht="22" customHeight="1">
      <c r="A47" s="76" t="n"/>
      <c r="B47" s="76" t="n"/>
      <c r="C47" s="76" t="n"/>
      <c r="D47" s="76" t="n"/>
      <c r="E47" s="77" t="n"/>
    </row>
    <row r="48" ht="22" customHeight="1">
      <c r="A48" s="78" t="n"/>
      <c r="B48" s="79" t="n"/>
      <c r="C48" s="80" t="n"/>
      <c r="D48" s="78" t="n"/>
      <c r="E48" s="81" t="n"/>
    </row>
    <row r="49" ht="22" customHeight="1">
      <c r="A49" s="76" t="n"/>
      <c r="B49" s="76" t="n"/>
      <c r="C49" s="76" t="n"/>
      <c r="D49" s="76" t="n"/>
      <c r="E49" s="77" t="n"/>
    </row>
    <row r="50" ht="22" customHeight="1">
      <c r="A50" s="78" t="n"/>
      <c r="B50" s="79" t="n"/>
      <c r="C50" s="80" t="n"/>
      <c r="D50" s="78" t="n"/>
      <c r="E50" s="81" t="n"/>
    </row>
    <row r="51" ht="22" customHeight="1">
      <c r="A51" s="76" t="n"/>
      <c r="B51" s="76" t="n"/>
      <c r="C51" s="76" t="n"/>
      <c r="D51" s="76" t="n"/>
      <c r="E51" s="77" t="n"/>
    </row>
    <row r="52" ht="22" customHeight="1">
      <c r="A52" s="78" t="n"/>
      <c r="B52" s="79" t="n"/>
      <c r="C52" s="80" t="n"/>
      <c r="D52" s="78" t="n"/>
      <c r="E52" s="81" t="n"/>
    </row>
    <row r="53" ht="22" customHeight="1">
      <c r="A53" s="76" t="n"/>
      <c r="B53" s="76" t="n"/>
      <c r="C53" s="76" t="n"/>
      <c r="D53" s="76" t="n"/>
      <c r="E53" s="77" t="n"/>
    </row>
    <row r="54" ht="22" customHeight="1">
      <c r="A54" s="78" t="n"/>
      <c r="B54" s="79" t="n"/>
      <c r="C54" s="80" t="n"/>
      <c r="D54" s="78" t="n"/>
      <c r="E54" s="81" t="n"/>
    </row>
    <row r="55" ht="22" customHeight="1">
      <c r="A55" s="76" t="n"/>
      <c r="B55" s="76" t="n"/>
      <c r="C55" s="76" t="n"/>
      <c r="D55" s="76" t="n"/>
      <c r="E55" s="77" t="n"/>
    </row>
    <row r="56" ht="22" customHeight="1">
      <c r="A56" s="78" t="n"/>
      <c r="B56" s="79" t="n"/>
      <c r="C56" s="80" t="n"/>
      <c r="D56" s="78" t="n"/>
      <c r="E56" s="81" t="n"/>
    </row>
    <row r="57" ht="22" customHeight="1">
      <c r="A57" s="76" t="n"/>
      <c r="B57" s="76" t="n"/>
      <c r="C57" s="76" t="n"/>
      <c r="D57" s="76" t="n"/>
      <c r="E57" s="77" t="n"/>
    </row>
    <row r="58" ht="22" customHeight="1">
      <c r="A58" s="78" t="n"/>
      <c r="B58" s="79" t="n"/>
      <c r="C58" s="80" t="n"/>
      <c r="D58" s="78" t="n"/>
      <c r="E58" s="81" t="n"/>
    </row>
    <row r="59" ht="22" customHeight="1">
      <c r="A59" s="76" t="n"/>
      <c r="B59" s="76" t="n"/>
      <c r="C59" s="76" t="n"/>
      <c r="D59" s="76" t="n"/>
      <c r="E59" s="77" t="n"/>
    </row>
    <row r="60" ht="22" customHeight="1">
      <c r="A60" s="78" t="n"/>
      <c r="B60" s="79" t="n"/>
      <c r="C60" s="80" t="n"/>
      <c r="D60" s="78" t="n"/>
      <c r="E60" s="81" t="n"/>
    </row>
    <row r="61" ht="22" customHeight="1">
      <c r="A61" s="76" t="n"/>
      <c r="B61" s="76" t="n"/>
      <c r="C61" s="76" t="n"/>
      <c r="D61" s="76" t="n"/>
      <c r="E61" s="77" t="n"/>
    </row>
    <row r="62" ht="22" customHeight="1">
      <c r="A62" s="78" t="n"/>
      <c r="B62" s="79" t="n"/>
      <c r="C62" s="80" t="n"/>
      <c r="D62" s="78" t="n"/>
      <c r="E62" s="81" t="n"/>
    </row>
    <row r="63" ht="22" customHeight="1">
      <c r="A63" s="76" t="n"/>
      <c r="B63" s="76" t="n"/>
      <c r="C63" s="76" t="n"/>
      <c r="D63" s="76" t="n"/>
      <c r="E63" s="77" t="n"/>
    </row>
    <row r="64" ht="22" customHeight="1">
      <c r="A64" s="78" t="n"/>
      <c r="B64" s="79" t="n"/>
      <c r="C64" s="80" t="n"/>
      <c r="D64" s="78" t="n"/>
      <c r="E64" s="81" t="n"/>
    </row>
    <row r="65" ht="22" customHeight="1">
      <c r="A65" s="76" t="n"/>
      <c r="B65" s="76" t="n"/>
      <c r="C65" s="76" t="n"/>
      <c r="D65" s="76" t="n"/>
      <c r="E65" s="77" t="n"/>
    </row>
    <row r="66" ht="22" customHeight="1">
      <c r="A66" s="78" t="n"/>
      <c r="B66" s="79" t="n"/>
      <c r="C66" s="80" t="n"/>
      <c r="D66" s="78" t="n"/>
      <c r="E66" s="81" t="n"/>
    </row>
    <row r="67" ht="22" customHeight="1">
      <c r="A67" s="76" t="n"/>
      <c r="B67" s="76" t="n"/>
      <c r="C67" s="76" t="n"/>
      <c r="D67" s="76" t="n"/>
      <c r="E67" s="77" t="n"/>
    </row>
    <row r="68" ht="22" customHeight="1">
      <c r="A68" s="78" t="n"/>
      <c r="B68" s="79" t="n"/>
      <c r="C68" s="80" t="n"/>
      <c r="D68" s="78" t="n"/>
      <c r="E68" s="81" t="n"/>
    </row>
    <row r="69" ht="22" customHeight="1">
      <c r="A69" s="76" t="n"/>
      <c r="B69" s="76" t="n"/>
      <c r="C69" s="76" t="n"/>
      <c r="D69" s="76" t="n"/>
      <c r="E69" s="77" t="n"/>
    </row>
    <row r="70" ht="22" customHeight="1">
      <c r="A70" s="78" t="n"/>
      <c r="B70" s="79" t="n"/>
      <c r="C70" s="80" t="n"/>
      <c r="D70" s="78" t="n"/>
      <c r="E70" s="81" t="n"/>
    </row>
    <row r="71" ht="22" customHeight="1">
      <c r="A71" s="76" t="n"/>
      <c r="B71" s="76" t="n"/>
      <c r="C71" s="76" t="n"/>
      <c r="D71" s="76" t="n"/>
      <c r="E71" s="77" t="n"/>
    </row>
    <row r="72" ht="22" customHeight="1">
      <c r="A72" s="78" t="n"/>
      <c r="B72" s="79" t="n"/>
      <c r="C72" s="80" t="n"/>
      <c r="D72" s="78" t="n"/>
      <c r="E72" s="81" t="n"/>
    </row>
    <row r="73" ht="22" customHeight="1">
      <c r="A73" s="76" t="n"/>
      <c r="B73" s="76" t="n"/>
      <c r="C73" s="76" t="n"/>
      <c r="D73" s="76" t="n"/>
      <c r="E73" s="77" t="n"/>
    </row>
    <row r="74" ht="22" customHeight="1">
      <c r="A74" s="78" t="n"/>
      <c r="B74" s="79" t="n"/>
      <c r="C74" s="80" t="n"/>
      <c r="D74" s="78" t="n"/>
      <c r="E74" s="81" t="n"/>
    </row>
    <row r="75" ht="22" customHeight="1">
      <c r="A75" s="76" t="n"/>
      <c r="B75" s="76" t="n"/>
      <c r="C75" s="76" t="n"/>
      <c r="D75" s="76" t="n"/>
      <c r="E75" s="77" t="n"/>
    </row>
    <row r="76" ht="22" customHeight="1">
      <c r="A76" s="78" t="n"/>
      <c r="B76" s="79" t="n"/>
      <c r="C76" s="80" t="n"/>
      <c r="D76" s="78" t="n"/>
      <c r="E76" s="81" t="n"/>
    </row>
    <row r="77" ht="22" customHeight="1">
      <c r="A77" s="76" t="n"/>
      <c r="B77" s="76" t="n"/>
      <c r="C77" s="76" t="n"/>
      <c r="D77" s="76" t="n"/>
      <c r="E77" s="77" t="n"/>
    </row>
    <row r="78" ht="22" customHeight="1">
      <c r="A78" s="78" t="n"/>
      <c r="B78" s="79" t="n"/>
      <c r="C78" s="80" t="n"/>
      <c r="D78" s="78" t="n"/>
      <c r="E78" s="81" t="n"/>
    </row>
    <row r="79" ht="22" customHeight="1">
      <c r="A79" s="76" t="n"/>
      <c r="B79" s="76" t="n"/>
      <c r="C79" s="76" t="n"/>
      <c r="D79" s="76" t="n"/>
      <c r="E79" s="77" t="n"/>
    </row>
    <row r="80" ht="22" customHeight="1">
      <c r="A80" s="78" t="n"/>
      <c r="B80" s="79" t="n"/>
      <c r="C80" s="80" t="n"/>
      <c r="D80" s="78" t="n"/>
      <c r="E80" s="81" t="n"/>
    </row>
    <row r="81" ht="22" customHeight="1">
      <c r="A81" s="76" t="n"/>
      <c r="B81" s="76" t="n"/>
      <c r="C81" s="76" t="n"/>
      <c r="D81" s="76" t="n"/>
      <c r="E81" s="77" t="n"/>
    </row>
    <row r="82" ht="22" customHeight="1">
      <c r="A82" s="78" t="n"/>
      <c r="B82" s="79" t="n"/>
      <c r="C82" s="80" t="n"/>
      <c r="D82" s="78" t="n"/>
      <c r="E82" s="81" t="n"/>
    </row>
    <row r="83" ht="22" customHeight="1">
      <c r="A83" s="76" t="n"/>
      <c r="B83" s="76" t="n"/>
      <c r="C83" s="76" t="n"/>
      <c r="D83" s="76" t="n"/>
      <c r="E83" s="77" t="n"/>
    </row>
    <row r="84" ht="22" customHeight="1">
      <c r="A84" s="78" t="n"/>
      <c r="B84" s="79" t="n"/>
      <c r="C84" s="80" t="n"/>
      <c r="D84" s="78" t="n"/>
      <c r="E84" s="81" t="n"/>
    </row>
    <row r="85" ht="22" customHeight="1">
      <c r="A85" s="76" t="n"/>
      <c r="B85" s="76" t="n"/>
      <c r="C85" s="76" t="n"/>
      <c r="D85" s="76" t="n"/>
      <c r="E85" s="77" t="n"/>
    </row>
    <row r="86" ht="22" customHeight="1">
      <c r="A86" s="78" t="n"/>
      <c r="B86" s="79" t="n"/>
      <c r="C86" s="80" t="n"/>
      <c r="D86" s="78" t="n"/>
      <c r="E86" s="81" t="n"/>
    </row>
    <row r="87" ht="22" customHeight="1">
      <c r="A87" s="76" t="n"/>
      <c r="B87" s="76" t="n"/>
      <c r="C87" s="76" t="n"/>
      <c r="D87" s="76" t="n"/>
      <c r="E87" s="77" t="n"/>
    </row>
    <row r="88" ht="22" customHeight="1">
      <c r="A88" s="78" t="n"/>
      <c r="B88" s="79" t="n"/>
      <c r="C88" s="80" t="n"/>
      <c r="D88" s="78" t="n"/>
      <c r="E88" s="81" t="n"/>
    </row>
    <row r="89" ht="22" customHeight="1">
      <c r="A89" s="76" t="n"/>
      <c r="B89" s="76" t="n"/>
      <c r="C89" s="76" t="n"/>
      <c r="D89" s="76" t="n"/>
      <c r="E89" s="77" t="n"/>
    </row>
    <row r="90" ht="22" customHeight="1">
      <c r="A90" s="78" t="n"/>
      <c r="B90" s="79" t="n"/>
      <c r="C90" s="80" t="n"/>
      <c r="D90" s="78" t="n"/>
      <c r="E90" s="81" t="n"/>
    </row>
    <row r="91" ht="22" customHeight="1">
      <c r="A91" s="76" t="n"/>
      <c r="B91" s="76" t="n"/>
      <c r="C91" s="76" t="n"/>
      <c r="D91" s="76" t="n"/>
      <c r="E91" s="77" t="n"/>
    </row>
    <row r="92" ht="22" customHeight="1">
      <c r="A92" s="78" t="n"/>
      <c r="B92" s="79" t="n"/>
      <c r="C92" s="80" t="n"/>
      <c r="D92" s="78" t="n"/>
      <c r="E92" s="81" t="n"/>
    </row>
    <row r="93" ht="22" customHeight="1">
      <c r="A93" s="76" t="n"/>
      <c r="B93" s="76" t="n"/>
      <c r="C93" s="76" t="n"/>
      <c r="D93" s="76" t="n"/>
      <c r="E93" s="77" t="n"/>
    </row>
    <row r="94" ht="22" customHeight="1">
      <c r="A94" s="78" t="n"/>
      <c r="B94" s="79" t="n"/>
      <c r="C94" s="80" t="n"/>
      <c r="D94" s="78" t="n"/>
      <c r="E94" s="81" t="n"/>
    </row>
    <row r="95" ht="22" customHeight="1">
      <c r="A95" s="76" t="n"/>
      <c r="B95" s="76" t="n"/>
      <c r="C95" s="76" t="n"/>
      <c r="D95" s="76" t="n"/>
      <c r="E95" s="77" t="n"/>
    </row>
    <row r="96" ht="22" customHeight="1">
      <c r="A96" s="78" t="n"/>
      <c r="B96" s="79" t="n"/>
      <c r="C96" s="80" t="n"/>
      <c r="D96" s="78" t="n"/>
      <c r="E96" s="81" t="n"/>
    </row>
    <row r="97" ht="22" customHeight="1">
      <c r="A97" s="76" t="n"/>
      <c r="B97" s="76" t="n"/>
      <c r="C97" s="76" t="n"/>
      <c r="D97" s="76" t="n"/>
      <c r="E97" s="77" t="n"/>
    </row>
    <row r="98" ht="22" customHeight="1">
      <c r="A98" s="78" t="n"/>
      <c r="B98" s="79" t="n"/>
      <c r="C98" s="80" t="n"/>
      <c r="D98" s="78" t="n"/>
      <c r="E98" s="81" t="n"/>
    </row>
    <row r="99" ht="22" customHeight="1">
      <c r="A99" s="76" t="n"/>
      <c r="B99" s="76" t="n"/>
      <c r="C99" s="76" t="n"/>
      <c r="D99" s="76" t="n"/>
      <c r="E99" s="77" t="n"/>
    </row>
    <row r="100" ht="22" customHeight="1">
      <c r="A100" s="78" t="n"/>
      <c r="B100" s="79" t="n"/>
      <c r="C100" s="80" t="n"/>
      <c r="D100" s="78" t="n"/>
      <c r="E100" s="81" t="n"/>
    </row>
    <row r="101" ht="22" customHeight="1">
      <c r="A101" s="76" t="n"/>
      <c r="B101" s="76" t="n"/>
      <c r="C101" s="76" t="n"/>
      <c r="D101" s="76" t="n"/>
      <c r="E101" s="77" t="n"/>
    </row>
    <row r="102" ht="22" customHeight="1">
      <c r="A102" s="78" t="n"/>
      <c r="B102" s="79" t="n"/>
      <c r="C102" s="80" t="n"/>
      <c r="D102" s="78" t="n"/>
      <c r="E102" s="81" t="n"/>
    </row>
    <row r="103" ht="22" customHeight="1">
      <c r="A103" s="76" t="n"/>
      <c r="B103" s="76" t="n"/>
      <c r="C103" s="76" t="n"/>
      <c r="D103" s="76" t="n"/>
      <c r="E103" s="77" t="n"/>
    </row>
    <row r="104" ht="22" customHeight="1">
      <c r="A104" s="78" t="n"/>
      <c r="B104" s="79" t="n"/>
      <c r="C104" s="80" t="n"/>
      <c r="D104" s="78" t="n"/>
      <c r="E104" s="81" t="n"/>
    </row>
    <row r="105" ht="22" customHeight="1"/>
    <row r="106" ht="22" customHeight="1"/>
    <row r="107" ht="22" customHeight="1"/>
    <row r="108" ht="22" customHeight="1"/>
    <row r="109" ht="22" customHeight="1"/>
  </sheetData>
  <mergeCells count="2">
    <mergeCell ref="A2:E2"/>
    <mergeCell ref="A1:E1"/>
  </mergeCells>
  <dataValidations count="2">
    <dataValidation sqref="B4:B200" showDropDown="0" showInputMessage="0" showErrorMessage="0" allowBlank="1" type="list">
      <formula1>"티백 단품,잎차 단품,파우더 단품,티백 3개 SET,잎차 3개 SET,파우더 3개 SET,티백 6개 SET,잎차 6개 SET,파우더 6개 SET"</formula1>
    </dataValidation>
    <dataValidation sqref="C4:C200" showDropDown="0" showInputMessage="0" showErrorMessage="0" allowBlank="1" type="list">
      <formula1>"티백 단품,잎차 단품,파우더 단품,티백 3개 SET,잎차 3개 SET,파우더 3개 SET,티백 6개 SET,잎차 6개 SET,파우더 6개 SET"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2026-05-05T13:12:54Z</dcterms:created>
  <dcterms:modified xsi:type="dcterms:W3CDTF">2026-05-06T01:23:16Z</dcterms:modified>
</cp:coreProperties>
</file>